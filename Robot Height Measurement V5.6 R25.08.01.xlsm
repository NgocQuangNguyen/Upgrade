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<sst xmlns="http://schemas.openxmlformats.org/spreadsheetml/2006/main" count="786" uniqueCount="503">
  <si>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</si>
  <si>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</si>
  <si>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</si>
  <si>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</si>
  <si>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</si>
  <si>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</si>
  <si>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</si>
  <si>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</si>
  <si>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</si>
  <si>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</si>
  <si>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</si>
  <si>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</si>
  <si>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</si>
  <si>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</si>
  <si>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</si>
  <si>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</si>
  <si>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</si>
  <si>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</si>
  <si>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</si>
  <si>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</si>
  <si>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</si>
  <si>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</si>
  <si>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</si>
  <si>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</si>
  <si>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</si>
  <si>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</si>
  <si>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</si>
  <si>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</si>
  <si>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</si>
  <si>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</si>
  <si>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</si>
  <si>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</si>
  <si>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</si>
  <si>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</si>
  <si>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</si>
  <si>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</si>
  <si>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</si>
  <si>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</si>
  <si>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</si>
  <si>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</si>
  <si>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</si>
  <si>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</si>
  <si>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</si>
  <si>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</si>
  <si>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</si>
  <si>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</si>
  <si>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</si>
  <si>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</si>
  <si>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</si>
  <si>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</si>
  <si>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</si>
  <si>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</si>
  <si>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</si>
  <si>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</si>
  <si>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</si>
  <si>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</si>
  <si>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</si>
  <si>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</si>
  <si>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</si>
  <si>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</si>
  <si>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</si>
  <si>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</si>
  <si>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</si>
  <si>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</si>
  <si>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</si>
  <si>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</si>
  <si>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</si>
  <si>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</si>
  <si>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</si>
  <si>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</si>
  <si>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</si>
  <si>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</si>
  <si>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</si>
  <si>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</si>
  <si>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</si>
  <si>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</si>
  <si>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</si>
  <si>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</si>
  <si>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</si>
  <si>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</si>
  <si>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</si>
  <si>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</si>
  <si>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</si>
  <si>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</si>
  <si>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</si>
  <si>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</si>
  <si>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</si>
  <si>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</si>
  <si>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</si>
  <si>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</si>
  <si>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</si>
  <si>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</si>
  <si>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</si>
  <si>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</si>
  <si>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</si>
  <si>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</si>
  <si>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</si>
  <si>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</si>
  <si>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</si>
  <si>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</si>
  <si>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</si>
  <si>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</si>
  <si>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</si>
  <si>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</si>
  <si>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</si>
  <si>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</si>
  <si>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</si>
  <si>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</si>
  <si>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</si>
  <si>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</si>
  <si>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</si>
  <si>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</si>
  <si>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</si>
  <si>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</si>
  <si>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</si>
  <si>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</si>
  <si>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</si>
  <si>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</si>
  <si>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</si>
  <si>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</si>
  <si>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</si>
  <si>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</si>
  <si>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</si>
  <si>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</si>
  <si>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</si>
  <si>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</si>
  <si>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</si>
  <si>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</si>
  <si>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</si>
  <si>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</si>
  <si>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</si>
  <si>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</si>
  <si>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</si>
  <si>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</si>
  <si>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</si>
  <si>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</si>
  <si>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</si>
  <si>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</si>
  <si>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</si>
  <si>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</si>
  <si>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</si>
  <si>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</si>
  <si>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</si>
  <si>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</si>
  <si>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</si>
  <si>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</si>
  <si>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</si>
  <si>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</si>
  <si>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</si>
  <si>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</si>
  <si>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</si>
  <si>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</si>
  <si>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</si>
  <si>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</si>
  <si>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</si>
  <si>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</si>
  <si>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</si>
  <si>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</si>
  <si>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</si>
  <si>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</si>
  <si>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</si>
  <si>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</si>
  <si>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</si>
  <si>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</si>
  <si>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</si>
  <si>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</si>
  <si>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</si>
  <si>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</si>
  <si>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</si>
  <si>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</si>
  <si>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</si>
  <si>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</si>
  <si>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</si>
  <si>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</si>
  <si>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</si>
  <si>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</si>
  <si>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</si>
  <si>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</si>
  <si>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</si>
  <si>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</si>
  <si>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</si>
  <si>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</si>
  <si>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</si>
  <si>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</si>
  <si>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</si>
  <si>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</si>
  <si>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</si>
  <si>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</si>
  <si>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</si>
  <si>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</si>
  <si>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</si>
  <si>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</si>
  <si>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</si>
  <si>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</si>
  <si>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</si>
  <si>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</si>
  <si>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</si>
  <si>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</si>
  <si>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</si>
  <si>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</si>
  <si>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</si>
  <si>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</si>
  <si>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</si>
  <si>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</si>
  <si>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</si>
  <si>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</si>
  <si>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</si>
  <si>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</si>
  <si>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</si>
  <si>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</si>
  <si>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</si>
  <si>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</si>
  <si>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</si>
  <si>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</si>
  <si>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</si>
  <si>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</si>
  <si>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</si>
  <si>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</si>
  <si>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</si>
  <si>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</si>
  <si>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</si>
  <si>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</si>
  <si>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</si>
  <si>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</si>
  <si>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</si>
  <si>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</si>
  <si>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</si>
  <si>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</si>
  <si>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</si>
  <si>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</si>
  <si>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</si>
  <si>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</si>
  <si>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</si>
  <si>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</si>
  <si>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</si>
  <si>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</si>
  <si>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</si>
  <si>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</si>
  <si>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</si>
  <si>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</si>
  <si>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</si>
  <si>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</si>
  <si>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</si>
  <si>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</si>
  <si>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</si>
  <si>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</si>
  <si>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</si>
  <si>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</si>
  <si>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</si>
  <si>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</si>
  <si>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</si>
  <si>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</si>
  <si>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</si>
  <si>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</si>
  <si>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</si>
  <si>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</si>
  <si>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</si>
  <si>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</si>
  <si>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</si>
  <si>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</si>
  <si>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</si>
  <si>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</si>
  <si>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</si>
  <si>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</si>
  <si>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</si>
  <si>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</si>
  <si>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</si>
  <si>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</si>
  <si>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</si>
  <si>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</si>
  <si>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</si>
  <si>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</si>
  <si>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</si>
  <si>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</si>
  <si>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</si>
  <si>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</si>
  <si>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</si>
  <si>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</si>
  <si>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</si>
  <si>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</si>
  <si>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</si>
  <si>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</si>
  <si>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</si>
  <si>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</si>
  <si>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</si>
  <si>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</si>
  <si>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</si>
  <si>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</si>
  <si>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</si>
  <si>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</si>
  <si>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</si>
  <si>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</si>
  <si>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</si>
  <si>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</si>
  <si>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</si>
  <si>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</si>
  <si>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</si>
  <si>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</si>
  <si>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</si>
  <si>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</si>
  <si>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</si>
  <si>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</si>
  <si>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</si>
  <si>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</si>
  <si>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</si>
  <si>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</si>
  <si>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</si>
  <si>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</si>
  <si>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</si>
  <si>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</si>
  <si>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</si>
  <si>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</si>
  <si>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</si>
  <si>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</si>
  <si>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</si>
  <si>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</si>
  <si>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</si>
  <si>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</si>
  <si>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</si>
  <si>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</si>
  <si>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</si>
  <si>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</si>
  <si>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</si>
  <si>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</si>
  <si>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</si>
  <si>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</si>
  <si>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</si>
  <si>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</si>
  <si>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</si>
  <si>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</si>
  <si>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</si>
  <si>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</si>
  <si>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</si>
  <si>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</si>
  <si>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</si>
  <si>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</si>
  <si>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</si>
  <si>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</si>
  <si>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</si>
  <si>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</si>
  <si>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</si>
  <si>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</si>
  <si>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</si>
  <si>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</si>
  <si>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</si>
  <si>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</si>
  <si>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</si>
  <si>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</si>
  <si>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</si>
  <si>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</si>
  <si>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</si>
  <si>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</si>
  <si>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</si>
  <si>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</si>
  <si>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</si>
  <si>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</si>
  <si>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</si>
  <si>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</si>
  <si>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</si>
  <si>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</si>
  <si>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</si>
  <si>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</si>
  <si>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</si>
  <si>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</si>
  <si>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</si>
  <si>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</si>
  <si>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</si>
  <si>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</si>
  <si>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</si>
  <si>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</si>
  <si>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</si>
  <si>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</si>
  <si>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</si>
  <si>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</si>
  <si>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</si>
  <si>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</si>
  <si>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</si>
  <si>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</si>
  <si>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</si>
  <si>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</si>
  <si>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</si>
  <si>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</si>
  <si>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</si>
  <si>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</si>
  <si>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</si>
  <si>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</si>
  <si>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</si>
  <si>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</si>
  <si>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</si>
  <si>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</si>
  <si>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</si>
  <si>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</si>
  <si>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</si>
  <si>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</si>
  <si>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</si>
  <si>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</si>
  <si>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</si>
  <si>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</si>
  <si>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</si>
  <si>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</si>
  <si>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</si>
  <si>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</si>
  <si>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</si>
  <si>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</si>
  <si>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</si>
  <si>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</si>
  <si>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</si>
  <si>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</si>
  <si>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</si>
  <si>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</si>
  <si>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</si>
  <si>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</si>
  <si>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</si>
  <si>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</si>
  <si>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</si>
  <si>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</si>
  <si>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</si>
  <si>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</si>
  <si>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</si>
  <si>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</si>
  <si>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</si>
  <si>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</si>
  <si>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</si>
  <si>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</si>
  <si>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</si>
  <si>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</si>
  <si>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</si>
  <si>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</si>
  <si>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</si>
  <si>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</si>
  <si>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</si>
  <si>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</si>
  <si>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</si>
  <si>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</si>
  <si>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</si>
  <si>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</si>
  <si>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</si>
  <si>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</si>
  <si>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</si>
  <si>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</si>
  <si>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</si>
  <si>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</si>
  <si>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</si>
  <si>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</si>
  <si>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</si>
  <si>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</si>
  <si>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</si>
  <si>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</si>
  <si>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</si>
  <si>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</si>
  <si>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</si>
  <si>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</si>
  <si>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</si>
  <si>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</si>
  <si>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</si>
  <si>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</si>
  <si>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</si>
  <si>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</si>
  <si>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</si>
  <si>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</si>
  <si>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</si>
  <si>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</si>
  <si>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</si>
  <si>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</si>
  <si>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</si>
  <si>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</si>
  <si>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</si>
  <si>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</si>
  <si>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</si>
  <si>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</si>
  <si>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</si>
  <si>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</si>
  <si>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</si>
  <si>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</si>
  <si>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</si>
  <si>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</si>
  <si>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</si>
  <si>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</si>
  <si>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</si>
  <si>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</si>
  <si>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</si>
  <si>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</si>
  <si>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</si>
  <si>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</si>
  <si>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</si>
  <si>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</si>
  <si>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</si>
  <si>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</si>
  <si>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</si>
  <si>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</si>
  <si>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</si>
  <si>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</si>
  <si>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</si>
  <si>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</si>
  <si>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</si>
  <si>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14-Jul-2025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</si>
  <si>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</si>
  <si>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</si>
  <si>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</si>
  <si>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</si>
  <si>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>D</t>
  </si>
  <si>
    <t xml:space="preserve"> 20-Jul-2025 03 59 04 PM</t>
  </si>
  <si>
    <t>COIL NEEDLE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</si>
</sst>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9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>
        <v>45858</v>
      </c>
      <c r="J1" s="25" t="s">
        <v>144</v>
      </c>
      <c r="K1" s="25" t="s">
        <v>501</v>
      </c>
      <c r="L1" s="25" t="s">
        <v>500</v>
      </c>
    </row>
    <row r="2" spans="1:12">
      <c r="A2" s="19"/>
      <c r="C2" s="20"/>
      <c r="D2" s="26"/>
      <c r="H2" s="19"/>
    </row>
    <row r="3" spans="1:12">
      <c r="A3" s="19"/>
      <c r="C3" s="20"/>
      <c r="D3" s="26"/>
      <c r="F3" s="19"/>
      <c r="G3" s="19"/>
      <c r="H3" s="19"/>
    </row>
    <row r="4" spans="1:12">
      <c r="A4" s="19"/>
      <c r="C4" s="20"/>
      <c r="D4" s="26"/>
      <c r="G4" s="23"/>
      <c r="H4" s="19"/>
    </row>
    <row r="5" spans="1:12">
      <c r="A5" s="19"/>
      <c r="C5" s="20"/>
      <c r="D5" s="26"/>
      <c r="F5" s="23"/>
      <c r="G5" s="23"/>
      <c r="H5" s="19"/>
    </row>
    <row r="6" spans="1:12">
      <c r="A6" s="19"/>
      <c r="C6" s="20"/>
      <c r="D6" s="26"/>
      <c r="E6"/>
      <c r="F6" s="23"/>
      <c r="G6" s="23"/>
      <c r="H6" s="19"/>
    </row>
    <row r="7" spans="1:12" ht="13.5" customHeight="1">
      <c r="A7" s="19"/>
      <c r="C7" s="20"/>
      <c r="D7" s="26"/>
      <c r="E7"/>
      <c r="F7" s="23"/>
      <c r="G7" s="23"/>
      <c r="H7" s="19"/>
    </row>
    <row r="8" spans="1:12">
      <c r="A8" s="19"/>
      <c r="C8" s="20"/>
      <c r="D8" s="26"/>
      <c r="E8"/>
      <c r="F8" s="23"/>
      <c r="G8" s="23"/>
      <c r="H8" s="19"/>
      <c r="K8" s="24"/>
    </row>
    <row r="9" spans="1:12">
      <c r="A9" s="19"/>
      <c r="C9" s="20"/>
      <c r="D9" s="26"/>
      <c r="E9"/>
      <c r="F9" s="23"/>
      <c r="G9" s="23"/>
      <c r="H9" s="19"/>
    </row>
    <row r="10" spans="1:12">
      <c r="A10" s="19"/>
      <c r="C10" s="20"/>
      <c r="D10" s="26"/>
      <c r="E10"/>
      <c r="F10" s="23"/>
      <c r="G10" s="23"/>
      <c r="H10" s="19"/>
    </row>
    <row r="11" spans="1:12">
      <c r="A11" s="19"/>
      <c r="C11" s="20"/>
      <c r="D11" s="26"/>
      <c r="E11"/>
      <c r="F11" s="23"/>
      <c r="G11" s="23"/>
      <c r="H11" s="19"/>
    </row>
    <row r="12" spans="1:12">
      <c r="A12" s="19"/>
      <c r="C12" s="20"/>
      <c r="D12" s="26"/>
      <c r="E12"/>
      <c r="F12" s="23"/>
      <c r="G12" s="23"/>
      <c r="H12" s="19"/>
    </row>
    <row r="13" spans="1:12">
      <c r="A13" s="19"/>
      <c r="C13" s="20"/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4">
      <c r="A65" s="19"/>
      <c r="C65" s="20"/>
      <c r="D65" s="26"/>
    </row>
    <row r="66" spans="1:4">
      <c r="A66" s="19"/>
      <c r="C66" s="20"/>
      <c r="D66" s="26"/>
    </row>
    <row r="67" spans="1:4">
      <c r="A67" s="19"/>
      <c r="C67" s="20"/>
      <c r="D67" s="26"/>
    </row>
    <row r="68" spans="1:4">
      <c r="A68" s="19"/>
      <c r="C68" s="20"/>
      <c r="D68" s="26"/>
    </row>
    <row r="69" spans="1:4">
      <c r="A69" s="19"/>
      <c r="C69" s="20"/>
      <c r="D69" s="26"/>
    </row>
    <row r="70" spans="1:4">
      <c r="A70" s="19"/>
      <c r="C70" s="20"/>
      <c r="D70" s="26"/>
    </row>
    <row r="71" spans="1:4">
      <c r="A71" s="19"/>
      <c r="C71" s="20"/>
      <c r="D71" s="26"/>
    </row>
    <row r="72" spans="1:4">
      <c r="A72" s="19"/>
      <c r="C72" s="20"/>
      <c r="D72" s="26"/>
    </row>
    <row r="73" spans="1:4">
      <c r="A73" s="19"/>
      <c r="C73" s="20"/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97" t="s">
        <v>495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496</v>
      </c>
      <c r="BO2" s="94" t="s">
        <v>191</v>
      </c>
      <c r="BP2" s="94"/>
      <c r="BQ2" s="98" t="s">
        <v>403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499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502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497</v>
      </c>
      <c r="BN14" s="98" t="s">
        <v>498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490</v>
      </c>
      <c r="C2" s="125"/>
      <c r="D2" s="133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33"/>
      <c r="E3" s="76"/>
      <c r="F3" s="76"/>
      <c r="G3" s="76"/>
    </row>
    <row r="4" spans="2:7" ht="28.5" customHeight="1">
      <c r="B4" s="125"/>
      <c r="C4" s="125"/>
      <c r="D4" s="133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6" t="s">
        <v>215</v>
      </c>
      <c r="C6" s="127"/>
      <c r="D6" s="78"/>
      <c r="E6" s="78"/>
      <c r="F6" s="78"/>
      <c r="G6" s="78"/>
    </row>
    <row r="7" spans="2:7" ht="28.5" customHeight="1">
      <c r="B7" s="123" t="s">
        <v>216</v>
      </c>
      <c r="C7" s="124"/>
      <c r="D7" s="85" t="s">
        <v>218</v>
      </c>
      <c r="E7" s="85" t="s">
        <v>217</v>
      </c>
      <c r="F7" s="138" t="s">
        <v>219</v>
      </c>
      <c r="G7" s="130" t="s">
        <v>224</v>
      </c>
    </row>
    <row r="8" spans="2:7" ht="21" customHeight="1">
      <c r="B8" s="128" t="s">
        <v>316</v>
      </c>
      <c r="C8" s="129"/>
      <c r="D8" s="90"/>
      <c r="E8" s="90"/>
      <c r="F8" s="138"/>
      <c r="G8" s="131"/>
    </row>
    <row r="9" spans="2:7" ht="21" customHeight="1">
      <c r="B9" s="139" t="s">
        <v>11</v>
      </c>
      <c r="C9" s="140"/>
      <c r="D9" s="83"/>
      <c r="E9" s="83"/>
      <c r="F9" s="138"/>
      <c r="G9" s="131"/>
    </row>
    <row r="10" spans="2:7" ht="21" customHeight="1">
      <c r="B10" s="139" t="s">
        <v>12</v>
      </c>
      <c r="C10" s="140"/>
      <c r="D10" s="84"/>
      <c r="E10" s="84"/>
      <c r="F10" s="138"/>
      <c r="G10" s="131"/>
    </row>
    <row r="11" spans="2:7" ht="21" customHeight="1">
      <c r="B11" s="141" t="s">
        <v>1</v>
      </c>
      <c r="C11" s="142"/>
      <c r="D11" s="82">
        <f>MAX(D19:D20)</f>
        <v>0</v>
      </c>
      <c r="E11" s="82">
        <f>MAX(E19:E20)</f>
        <v>0</v>
      </c>
      <c r="F11" s="138"/>
      <c r="G11" s="131"/>
    </row>
    <row r="12" spans="2:7" ht="21" customHeight="1">
      <c r="B12" s="141" t="s">
        <v>2</v>
      </c>
      <c r="C12" s="142"/>
      <c r="D12" s="82">
        <f>MIN(D19:D20)</f>
        <v>0</v>
      </c>
      <c r="E12" s="82">
        <f>MIN(E19:E20)</f>
        <v>0</v>
      </c>
      <c r="F12" s="138"/>
      <c r="G12" s="131"/>
    </row>
    <row r="13" spans="2:7" ht="21" customHeight="1">
      <c r="B13" s="141" t="s">
        <v>3</v>
      </c>
      <c r="C13" s="142"/>
      <c r="D13" s="82" t="e">
        <f>AVERAGEA(D19:D20)</f>
        <v>#DIV/0!</v>
      </c>
      <c r="E13" s="82" t="e">
        <f>AVERAGEA(E19:E20)</f>
        <v>#DIV/0!</v>
      </c>
      <c r="F13" s="138"/>
      <c r="G13" s="131"/>
    </row>
    <row r="14" spans="2:7" s="73" customFormat="1" ht="21" customHeight="1">
      <c r="B14" s="134" t="s">
        <v>15</v>
      </c>
      <c r="C14" s="135"/>
      <c r="D14" s="74" t="e">
        <f>STDEV(D19:D20)</f>
        <v>#DIV/0!</v>
      </c>
      <c r="E14" s="74" t="e">
        <f>STDEV(E19:E20)</f>
        <v>#DIV/0!</v>
      </c>
      <c r="F14" s="138"/>
      <c r="G14" s="131"/>
    </row>
    <row r="15" spans="2:7" s="73" customFormat="1" ht="21" customHeight="1">
      <c r="B15" s="134" t="s">
        <v>16</v>
      </c>
      <c r="C15" s="135"/>
      <c r="D15" s="74" t="e">
        <f t="shared" ref="D15" si="0">(D9-D10)/(D14*6)</f>
        <v>#DIV/0!</v>
      </c>
      <c r="E15" s="74" t="e">
        <f t="shared" ref="E15" si="1">(E9-E10)/(E14*6)</f>
        <v>#DIV/0!</v>
      </c>
      <c r="F15" s="138"/>
      <c r="G15" s="131"/>
    </row>
    <row r="16" spans="2:7" s="73" customFormat="1" ht="21" customHeight="1">
      <c r="B16" s="134" t="s">
        <v>17</v>
      </c>
      <c r="C16" s="135"/>
      <c r="D16" s="74" t="e">
        <f>(D13-D10)/(D14*3)</f>
        <v>#DIV/0!</v>
      </c>
      <c r="E16" s="74" t="e">
        <f t="shared" ref="E16" si="2">(E13-E10)/(E14*3)</f>
        <v>#DIV/0!</v>
      </c>
      <c r="F16" s="138"/>
      <c r="G16" s="131"/>
    </row>
    <row r="17" spans="2:7" s="73" customFormat="1" ht="21" customHeight="1">
      <c r="B17" s="136" t="s">
        <v>18</v>
      </c>
      <c r="C17" s="137"/>
      <c r="D17" s="74" t="e">
        <f>(D9-D13)/(D14*3)</f>
        <v>#DIV/0!</v>
      </c>
      <c r="E17" s="74" t="e">
        <f t="shared" ref="E17" si="3">(E9-E13)/(E14*3)</f>
        <v>#DIV/0!</v>
      </c>
      <c r="F17" s="138"/>
      <c r="G17" s="131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8"/>
      <c r="G18" s="132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2025-08-01T03:57:14Z</dcterms:modified>
</cp:coreProperties>
</file>