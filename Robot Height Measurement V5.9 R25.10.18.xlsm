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<sst xmlns="http://schemas.openxmlformats.org/spreadsheetml/2006/main" count="714" uniqueCount="477">
  <si>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</si>
  <si>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</si>
  <si>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</si>
  <si>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</si>
  <si>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</si>
  <si>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</si>
  <si>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</si>
  <si>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</si>
  <si>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</si>
  <si>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</si>
  <si>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</si>
  <si>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</si>
  <si>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</si>
  <si>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</si>
  <si>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</si>
  <si>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</si>
  <si>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</si>
  <si>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</si>
  <si>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</si>
  <si>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</si>
  <si>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</si>
  <si>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</si>
  <si>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</si>
  <si>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</si>
  <si>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</si>
  <si>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</si>
  <si>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</si>
  <si>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</si>
  <si>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</si>
  <si>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</si>
  <si>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</si>
  <si>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</si>
  <si>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</si>
  <si>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</si>
  <si>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</si>
  <si>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</si>
  <si>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</si>
  <si>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</si>
  <si>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</si>
  <si>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</si>
  <si>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</si>
  <si>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</si>
  <si>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</si>
  <si>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</si>
  <si>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</si>
  <si>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</si>
  <si>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</si>
  <si>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</si>
  <si>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</si>
  <si>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</si>
  <si>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</si>
  <si>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</si>
  <si>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</si>
  <si>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</si>
  <si>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</si>
  <si>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</si>
  <si>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</si>
  <si>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</si>
  <si>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</si>
  <si>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</si>
  <si>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</si>
  <si>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</si>
  <si>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</si>
  <si>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</si>
  <si>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</si>
  <si>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</si>
  <si>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</si>
  <si>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</si>
  <si>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</si>
  <si>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</si>
  <si>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</si>
  <si>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</si>
  <si>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</si>
  <si>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</si>
  <si>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</si>
  <si>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</si>
  <si>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</si>
  <si>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</si>
  <si>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</si>
  <si>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</si>
  <si>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</si>
  <si>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</si>
  <si>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</si>
  <si>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</si>
  <si>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</si>
  <si>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</si>
  <si>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</si>
  <si>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</si>
  <si>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</si>
  <si>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</si>
  <si>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</si>
  <si>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</si>
  <si>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</si>
  <si>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</si>
  <si>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</si>
  <si>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</si>
  <si>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</si>
  <si>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</si>
  <si>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</si>
  <si>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</si>
  <si>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</si>
  <si>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</si>
  <si>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</si>
  <si>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</si>
  <si>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</si>
  <si>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</si>
  <si>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</si>
  <si>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</si>
  <si>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</si>
  <si>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</si>
  <si>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</si>
  <si>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</si>
  <si>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</si>
  <si>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</si>
  <si>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</si>
  <si>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</si>
  <si>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</si>
  <si>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</si>
  <si>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</si>
  <si>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</si>
  <si>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</si>
  <si>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</si>
  <si>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</si>
  <si>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</si>
  <si>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</si>
  <si>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</si>
  <si>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</si>
  <si>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</si>
  <si>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</si>
  <si>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</si>
  <si>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</si>
  <si>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</si>
  <si>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</si>
  <si>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</si>
  <si>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</si>
  <si>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</si>
  <si>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</si>
  <si>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</si>
  <si>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</si>
  <si>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</si>
  <si>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</si>
  <si>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</si>
  <si>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</si>
  <si>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</si>
  <si>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</si>
  <si>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</si>
  <si>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</si>
  <si>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</si>
  <si>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</si>
  <si>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</si>
  <si>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</si>
  <si>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</si>
  <si>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</si>
  <si>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</si>
  <si>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</si>
  <si>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</si>
  <si>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</si>
  <si>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</si>
  <si>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</si>
  <si>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</si>
  <si>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</si>
  <si>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</si>
  <si>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</si>
  <si>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</si>
  <si>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</si>
  <si>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</si>
  <si>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</si>
  <si>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</si>
  <si>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</si>
  <si>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</si>
  <si>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</si>
  <si>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</si>
  <si>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</si>
  <si>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</si>
  <si>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</si>
  <si>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</si>
  <si>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</si>
  <si>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</si>
  <si>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</si>
  <si>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</si>
  <si>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</si>
  <si>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</si>
  <si>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</si>
  <si>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</si>
  <si>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</si>
  <si>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</si>
  <si>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</si>
  <si>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</si>
  <si>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</si>
  <si>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</si>
  <si>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</si>
  <si>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</si>
  <si>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</si>
  <si>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</si>
  <si>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</si>
  <si>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</si>
  <si>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</si>
  <si>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</si>
  <si>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</si>
  <si>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</si>
  <si>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</si>
  <si>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</si>
  <si>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</si>
  <si>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</si>
  <si>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</si>
  <si>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</si>
  <si>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</si>
  <si>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</si>
  <si>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</si>
  <si>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</si>
  <si>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</si>
  <si>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</si>
  <si>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</si>
  <si>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</si>
  <si>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</si>
  <si>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</si>
  <si>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</si>
  <si>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</si>
  <si>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</si>
  <si>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</si>
  <si>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</si>
  <si>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</si>
  <si>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</si>
  <si>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</si>
  <si>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</si>
  <si>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</si>
  <si>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</si>
  <si>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</si>
  <si>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</si>
  <si>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</si>
  <si>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</si>
  <si>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</si>
  <si>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</si>
  <si>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</si>
  <si>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</si>
  <si>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</si>
  <si>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</si>
  <si>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</si>
  <si>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</si>
  <si>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</si>
  <si>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</si>
  <si>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</si>
  <si>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</si>
  <si>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</si>
  <si>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</si>
  <si>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</si>
  <si>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</si>
  <si>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</si>
  <si>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</si>
  <si>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</si>
  <si>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</si>
  <si>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</si>
  <si>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</si>
  <si>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</si>
  <si>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</si>
  <si>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</si>
  <si>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</si>
  <si>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</si>
  <si>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</si>
  <si>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</si>
  <si>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</si>
  <si>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</si>
  <si>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</si>
  <si>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</si>
  <si>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</si>
  <si>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</si>
  <si>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</si>
  <si>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</si>
  <si>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</si>
  <si>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</si>
  <si>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</si>
  <si>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</si>
  <si>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</si>
  <si>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</si>
  <si>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</si>
  <si>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</si>
  <si>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</si>
  <si>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</si>
  <si>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</si>
  <si>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</si>
  <si>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</si>
  <si>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</si>
  <si>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</si>
  <si>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</si>
  <si>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</si>
  <si>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</si>
  <si>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</si>
  <si>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</si>
  <si>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</si>
  <si>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</si>
  <si>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</si>
  <si>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</si>
  <si>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</si>
  <si>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</si>
  <si>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</si>
  <si>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</si>
  <si>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</si>
  <si>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</si>
  <si>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</si>
  <si>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</si>
  <si>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</si>
  <si>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</si>
  <si>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</si>
  <si>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</si>
  <si>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</si>
  <si>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</si>
  <si>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</si>
  <si>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</si>
  <si>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</si>
  <si>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</si>
  <si>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</si>
  <si>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</si>
  <si>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</si>
  <si>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</si>
  <si>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</si>
  <si>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</si>
  <si>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</si>
  <si>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</si>
  <si>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</si>
  <si>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</si>
  <si>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</si>
  <si>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</si>
  <si>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</si>
  <si>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</si>
  <si>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</si>
  <si>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</si>
  <si>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</si>
  <si>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</si>
  <si>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</si>
  <si>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</si>
  <si>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</si>
  <si>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</si>
  <si>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</si>
  <si>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</si>
  <si>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</si>
  <si>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</si>
  <si>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</si>
  <si>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</si>
  <si>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</si>
  <si>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</si>
  <si>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</si>
  <si>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</si>
  <si>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</si>
  <si>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</si>
  <si>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</si>
  <si>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</si>
  <si>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</si>
  <si>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</si>
  <si>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</si>
  <si>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</si>
  <si>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</si>
  <si>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</si>
  <si>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</si>
  <si>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</si>
  <si>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</si>
  <si>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</si>
  <si>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</si>
  <si>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</si>
  <si>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</si>
  <si>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</si>
  <si>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</si>
  <si>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</si>
  <si>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</si>
  <si>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</si>
  <si>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</si>
  <si>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</si>
  <si>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</si>
  <si>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</si>
  <si>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</si>
  <si>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</si>
  <si>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</si>
  <si>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</si>
  <si>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</si>
  <si>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</si>
  <si>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</si>
  <si>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</si>
  <si>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</si>
  <si>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</si>
  <si>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</si>
  <si>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</si>
  <si>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</si>
  <si>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</si>
  <si>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</si>
  <si>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</si>
  <si>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</si>
  <si>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</si>
  <si>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</si>
  <si>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</si>
  <si>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</si>
  <si>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</si>
  <si>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</si>
  <si>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</si>
  <si>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</si>
  <si>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</si>
  <si>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</si>
  <si>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</si>
  <si>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</si>
  <si>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</si>
  <si>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</si>
  <si>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</si>
  <si>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</si>
  <si>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</si>
  <si>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</si>
  <si>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</si>
  <si>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</si>
  <si>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</si>
  <si>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</si>
  <si>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</si>
  <si>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</si>
  <si>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</si>
  <si>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</si>
  <si>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</si>
  <si>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</si>
  <si>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</si>
  <si>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</si>
  <si>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</si>
  <si>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</si>
  <si>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</si>
  <si>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</si>
  <si>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</si>
  <si>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</si>
  <si>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</si>
  <si>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</si>
  <si>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</si>
  <si>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</si>
  <si>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</si>
  <si>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</si>
  <si>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</si>
  <si>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</si>
  <si>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</si>
  <si>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</si>
  <si>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</si>
  <si>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</si>
  <si>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</si>
  <si>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</si>
  <si>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</si>
  <si>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</si>
  <si>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</si>
  <si>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</si>
  <si>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</si>
  <si>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</si>
  <si>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</si>
  <si>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</si>
  <si>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</si>
  <si>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</si>
  <si>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</si>
  <si>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</si>
  <si>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</si>
  <si>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</si>
  <si>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</si>
  <si>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</si>
  <si>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</si>
  <si>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</si>
  <si>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</si>
  <si>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</si>
  <si>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</si>
  <si>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</si>
  <si>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</si>
  <si>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</si>
  <si>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</si>
  <si>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</si>
  <si>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</si>
  <si>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</si>
  <si>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</si>
  <si>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 xml:space="preserve"> 18-Oct-2025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</si>
  <si>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</si>
  <si>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</si>
  <si>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</si>
  <si>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</si>
  <si>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</si>
  <si>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</si>
  <si>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</si>
  <si>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</si>
  <si>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</si>
  <si>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</si>
  <si>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D</t>
  </si>
  <si>
    <t xml:space="preserve"> 18-Oct-2025 03 41 23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</si>
</sst>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154</v>
      </c>
      <c r="H1" s="25">
        <v>1</v>
      </c>
      <c r="I1" s="29" t="s">
        <v>464</v>
      </c>
      <c r="J1" s="25" t="s">
        <v>158</v>
      </c>
      <c r="K1" s="25" t="s">
        <v>476</v>
      </c>
      <c r="L1" s="25" t="s">
        <v>475</v>
      </c>
    </row>
    <row r="2" spans="1:12">
      <c r="A2" s="19">
        <v>0.39100000000000001</v>
      </c>
      <c r="C2" s="20" t="str">
        <f>IF(AND(A2&lt;&gt;"",B2&lt;&gt;""),IF(OR(A2&lt;0.002,B2-A2&lt;0),"NG Zero Set",ROUNDUP(B2-A2,3)),"")</f>
        <v/>
      </c>
      <c r="D2" s="26">
        <v>0</v>
      </c>
      <c r="H2" s="19"/>
    </row>
    <row r="3" spans="1:12">
      <c r="A3" s="19">
        <v>0.39800000000000002</v>
      </c>
      <c r="C3" s="20" t="str">
        <f t="shared" ref="C3:C66" si="0">IF(AND(A3&lt;&gt;"",B3&lt;&gt;""),IF(OR(A3&lt;0.002,B3-A3&lt;0),"NG Zero Set",ROUNDUP(B3-A3,3)),"")</f>
        <v/>
      </c>
      <c r="D3" s="26">
        <v>0</v>
      </c>
      <c r="F3" s="19"/>
      <c r="G3" s="19"/>
      <c r="H3" s="19"/>
    </row>
    <row r="4" spans="1:12">
      <c r="A4" s="19">
        <v>0.36199999999999999</v>
      </c>
      <c r="C4" s="20" t="str">
        <f t="shared" si="0"/>
        <v/>
      </c>
      <c r="D4" s="26">
        <v>0</v>
      </c>
      <c r="G4" s="23"/>
      <c r="H4" s="19"/>
    </row>
    <row r="5" spans="1:12">
      <c r="A5" s="19">
        <v>0.35199999999999998</v>
      </c>
      <c r="C5" s="20" t="str">
        <f t="shared" si="0"/>
        <v/>
      </c>
      <c r="D5" s="26">
        <v>0</v>
      </c>
      <c r="F5" s="23"/>
      <c r="G5" s="23"/>
      <c r="H5" s="19"/>
    </row>
    <row r="6" spans="1:12">
      <c r="A6" s="19">
        <v>0.39100000000000001</v>
      </c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>
        <v>0.38800000000000001</v>
      </c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>
        <v>0.35299999999999998</v>
      </c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>
        <v>0.35199999999999998</v>
      </c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>
        <v>0.39200000000000002</v>
      </c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>
        <v>0.39200000000000002</v>
      </c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>
        <v>0.35299999999999998</v>
      </c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>
        <v>0.35399999999999998</v>
      </c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>
        <v>0.39400000000000002</v>
      </c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>
        <v>0.40500000000000003</v>
      </c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>
        <v>0.35199999999999998</v>
      </c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>
        <v>0.35199999999999998</v>
      </c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>
        <v>0.39300000000000002</v>
      </c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>
        <v>0.39200000000000002</v>
      </c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>
        <v>0.35299999999999998</v>
      </c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>
        <v>0.35199999999999998</v>
      </c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>
        <v>0.39700000000000002</v>
      </c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>
        <v>0.39400000000000002</v>
      </c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>
        <v>0.35199999999999998</v>
      </c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>
        <v>0.35399999999999998</v>
      </c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>
        <v>0.40100000000000002</v>
      </c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>
        <v>0.39700000000000002</v>
      </c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>
        <v>0.35699999999999998</v>
      </c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>
        <v>0.35899999999999999</v>
      </c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>
        <v>0.40400000000000003</v>
      </c>
      <c r="C30" s="20" t="str">
        <f t="shared" si="0"/>
        <v/>
      </c>
      <c r="D30" s="26">
        <v>0</v>
      </c>
    </row>
    <row r="31" spans="1:9">
      <c r="A31" s="19">
        <v>0.4</v>
      </c>
      <c r="C31" s="20" t="str">
        <f t="shared" si="0"/>
        <v/>
      </c>
      <c r="D31" s="26">
        <v>0</v>
      </c>
    </row>
    <row r="32" spans="1:9">
      <c r="A32" s="19">
        <v>0.35899999999999999</v>
      </c>
      <c r="C32" s="20" t="str">
        <f t="shared" si="0"/>
        <v/>
      </c>
      <c r="D32" s="26">
        <v>0</v>
      </c>
    </row>
    <row r="33" spans="1:4">
      <c r="A33" s="19">
        <v>0.36199999999999999</v>
      </c>
      <c r="C33" s="20" t="str">
        <f t="shared" si="0"/>
        <v/>
      </c>
      <c r="D33" s="26">
        <v>0</v>
      </c>
    </row>
    <row r="34" spans="1:4">
      <c r="A34" s="19">
        <v>0.40899999999999997</v>
      </c>
      <c r="C34" s="20" t="str">
        <f t="shared" si="0"/>
        <v/>
      </c>
      <c r="D34" s="26">
        <v>0</v>
      </c>
    </row>
    <row r="35" spans="1:4">
      <c r="A35" s="19">
        <v>0.40699999999999997</v>
      </c>
      <c r="C35" s="20" t="str">
        <f t="shared" si="0"/>
        <v/>
      </c>
      <c r="D35" s="26">
        <v>0</v>
      </c>
    </row>
    <row r="36" spans="1:4">
      <c r="A36" s="19">
        <v>0.36399999999999999</v>
      </c>
      <c r="C36" s="20" t="str">
        <f t="shared" si="0"/>
        <v/>
      </c>
      <c r="D36" s="26">
        <v>0</v>
      </c>
    </row>
    <row r="37" spans="1:4">
      <c r="A37" s="19">
        <v>0.36699999999999999</v>
      </c>
      <c r="C37" s="20" t="str">
        <f t="shared" si="0"/>
        <v/>
      </c>
      <c r="D37" s="26">
        <v>0</v>
      </c>
    </row>
    <row r="38" spans="1:4">
      <c r="A38" s="19">
        <v>0.41499999999999998</v>
      </c>
      <c r="C38" s="20" t="str">
        <f t="shared" si="0"/>
        <v/>
      </c>
      <c r="D38" s="26">
        <v>0</v>
      </c>
    </row>
    <row r="39" spans="1:4">
      <c r="A39" s="19">
        <v>0.41099999999999998</v>
      </c>
      <c r="C39" s="20" t="str">
        <f t="shared" si="0"/>
        <v/>
      </c>
      <c r="D39" s="26">
        <v>0</v>
      </c>
    </row>
    <row r="40" spans="1:4">
      <c r="A40" s="19">
        <v>0.36899999999999999</v>
      </c>
      <c r="C40" s="20" t="str">
        <f t="shared" si="0"/>
        <v/>
      </c>
      <c r="D40" s="26">
        <v>0</v>
      </c>
    </row>
    <row r="41" spans="1:4">
      <c r="A41" s="19">
        <v>0.371</v>
      </c>
      <c r="C41" s="20" t="str">
        <f t="shared" si="0"/>
        <v/>
      </c>
      <c r="D41" s="26">
        <v>0</v>
      </c>
    </row>
    <row r="42" spans="1:4">
      <c r="A42" s="19">
        <v>0.52200000000000002</v>
      </c>
      <c r="C42" s="20" t="str">
        <f t="shared" si="0"/>
        <v/>
      </c>
      <c r="D42" s="26">
        <v>0</v>
      </c>
    </row>
    <row r="43" spans="1:4">
      <c r="A43" s="19">
        <v>0.499</v>
      </c>
      <c r="C43" s="20" t="str">
        <f t="shared" si="0"/>
        <v/>
      </c>
      <c r="D43" s="26">
        <v>0</v>
      </c>
    </row>
    <row r="44" spans="1:4">
      <c r="A44" s="19">
        <v>0.46400000000000002</v>
      </c>
      <c r="C44" s="20" t="str">
        <f t="shared" si="0"/>
        <v/>
      </c>
      <c r="D44" s="26">
        <v>0</v>
      </c>
    </row>
    <row r="45" spans="1:4">
      <c r="A45" s="19">
        <v>0.46400000000000002</v>
      </c>
      <c r="C45" s="20" t="str">
        <f t="shared" si="0"/>
        <v/>
      </c>
      <c r="D45" s="26">
        <v>0</v>
      </c>
    </row>
    <row r="46" spans="1:4">
      <c r="A46" s="19">
        <v>0.52500000000000002</v>
      </c>
      <c r="C46" s="20" t="str">
        <f t="shared" si="0"/>
        <v/>
      </c>
      <c r="D46" s="26">
        <v>0</v>
      </c>
    </row>
    <row r="47" spans="1:4">
      <c r="A47" s="19">
        <v>0.51600000000000001</v>
      </c>
      <c r="C47" s="20" t="str">
        <f t="shared" si="0"/>
        <v/>
      </c>
      <c r="D47" s="26">
        <v>0</v>
      </c>
    </row>
    <row r="48" spans="1:4">
      <c r="A48" s="19">
        <v>0.47699999999999998</v>
      </c>
      <c r="C48" s="20" t="str">
        <f t="shared" si="0"/>
        <v/>
      </c>
      <c r="D48" s="26">
        <v>0</v>
      </c>
    </row>
    <row r="49" spans="1:4">
      <c r="A49" s="19">
        <v>0.47799999999999998</v>
      </c>
      <c r="C49" s="20" t="str">
        <f t="shared" si="0"/>
        <v/>
      </c>
      <c r="D49" s="26">
        <v>0</v>
      </c>
    </row>
    <row r="50" spans="1:4">
      <c r="A50" s="19">
        <v>0.54100000000000004</v>
      </c>
      <c r="C50" s="20" t="str">
        <f t="shared" si="0"/>
        <v/>
      </c>
      <c r="D50" s="26">
        <v>0</v>
      </c>
    </row>
    <row r="51" spans="1:4">
      <c r="A51" s="19">
        <v>0.53200000000000003</v>
      </c>
      <c r="C51" s="20" t="str">
        <f t="shared" si="0"/>
        <v/>
      </c>
      <c r="D51" s="26">
        <v>0</v>
      </c>
    </row>
    <row r="52" spans="1:4">
      <c r="A52" s="19">
        <v>0.49099999999999999</v>
      </c>
      <c r="C52" s="20" t="str">
        <f t="shared" si="0"/>
        <v/>
      </c>
      <c r="D52" s="26">
        <v>0</v>
      </c>
    </row>
    <row r="53" spans="1:4">
      <c r="A53" s="19">
        <v>0.496</v>
      </c>
      <c r="C53" s="20" t="str">
        <f t="shared" si="0"/>
        <v/>
      </c>
      <c r="D53" s="26">
        <v>0</v>
      </c>
    </row>
    <row r="54" spans="1:4">
      <c r="A54" s="19">
        <v>0.55100000000000005</v>
      </c>
      <c r="C54" s="20" t="str">
        <f t="shared" si="0"/>
        <v/>
      </c>
      <c r="D54" s="26">
        <v>0</v>
      </c>
    </row>
    <row r="55" spans="1:4">
      <c r="A55" s="19">
        <v>0.54800000000000004</v>
      </c>
      <c r="C55" s="20" t="str">
        <f t="shared" si="0"/>
        <v/>
      </c>
      <c r="D55" s="26">
        <v>0</v>
      </c>
    </row>
    <row r="56" spans="1:4">
      <c r="A56" s="19">
        <v>0.50600000000000001</v>
      </c>
      <c r="C56" s="20" t="str">
        <f t="shared" si="0"/>
        <v/>
      </c>
      <c r="D56" s="26">
        <v>0</v>
      </c>
    </row>
    <row r="57" spans="1:4">
      <c r="A57" s="19">
        <v>0.505</v>
      </c>
      <c r="C57" s="20" t="str">
        <f t="shared" si="0"/>
        <v/>
      </c>
      <c r="D57" s="26">
        <v>0</v>
      </c>
    </row>
    <row r="58" spans="1:4">
      <c r="A58" s="19">
        <v>0.56899999999999995</v>
      </c>
      <c r="C58" s="20" t="str">
        <f t="shared" si="0"/>
        <v/>
      </c>
      <c r="D58" s="26">
        <v>0</v>
      </c>
    </row>
    <row r="59" spans="1:4">
      <c r="A59" s="19">
        <v>0.56599999999999995</v>
      </c>
      <c r="C59" s="20" t="str">
        <f t="shared" si="0"/>
        <v/>
      </c>
      <c r="D59" s="26">
        <v>0</v>
      </c>
    </row>
    <row r="60" spans="1:4">
      <c r="A60" s="19">
        <v>0.52200000000000002</v>
      </c>
      <c r="C60" s="20" t="str">
        <f t="shared" si="0"/>
        <v/>
      </c>
      <c r="D60" s="26">
        <v>0</v>
      </c>
    </row>
    <row r="61" spans="1:4">
      <c r="A61" s="19">
        <v>0.52200000000000002</v>
      </c>
      <c r="C61" s="20" t="str">
        <f t="shared" si="0"/>
        <v/>
      </c>
      <c r="D61" s="26">
        <v>0</v>
      </c>
    </row>
    <row r="62" spans="1:4">
      <c r="A62" s="19">
        <v>0.58899999999999997</v>
      </c>
      <c r="C62" s="20" t="str">
        <f t="shared" si="0"/>
        <v/>
      </c>
      <c r="D62" s="26">
        <v>0</v>
      </c>
    </row>
    <row r="63" spans="1:4">
      <c r="A63" s="19">
        <v>0.58099999999999996</v>
      </c>
      <c r="C63" s="20" t="str">
        <f t="shared" si="0"/>
        <v/>
      </c>
      <c r="D63" s="26">
        <v>0</v>
      </c>
    </row>
    <row r="64" spans="1:4">
      <c r="A64" s="19">
        <v>0.53900000000000003</v>
      </c>
      <c r="C64" s="20" t="str">
        <f t="shared" si="0"/>
        <v/>
      </c>
      <c r="D64" s="26">
        <v>0</v>
      </c>
    </row>
    <row r="65" spans="1:4">
      <c r="A65" s="19">
        <v>0.54400000000000004</v>
      </c>
      <c r="C65" s="20" t="str">
        <f t="shared" si="0"/>
        <v/>
      </c>
      <c r="D65" s="26">
        <v>0</v>
      </c>
    </row>
    <row r="66" spans="1:4">
      <c r="A66" s="19">
        <v>0.60799999999999998</v>
      </c>
      <c r="C66" s="20" t="str">
        <f t="shared" si="0"/>
        <v/>
      </c>
      <c r="D66" s="26">
        <v>0</v>
      </c>
    </row>
    <row r="67" spans="1:4">
      <c r="A67" s="19">
        <v>0.59899999999999998</v>
      </c>
      <c r="C67" s="20" t="str">
        <f t="shared" ref="C67:C130" si="1">IF(AND(A67&lt;&gt;"",B67&lt;&gt;""),IF(OR(A67&lt;0.002,B67-A67&lt;0),"NG Zero Set",ROUNDUP(B67-A67,3)),"")</f>
        <v/>
      </c>
      <c r="D67" s="26">
        <v>0</v>
      </c>
    </row>
    <row r="68" spans="1:4">
      <c r="A68" s="19">
        <v>0.55900000000000005</v>
      </c>
      <c r="C68" s="20" t="str">
        <f t="shared" si="1"/>
        <v/>
      </c>
      <c r="D68" s="26">
        <v>0</v>
      </c>
    </row>
    <row r="69" spans="1:4">
      <c r="A69" s="19">
        <v>0.56699999999999995</v>
      </c>
      <c r="C69" s="20" t="str">
        <f t="shared" si="1"/>
        <v/>
      </c>
      <c r="D69" s="26">
        <v>0</v>
      </c>
    </row>
    <row r="70" spans="1:4">
      <c r="A70" s="19">
        <v>0.628</v>
      </c>
      <c r="C70" s="20" t="str">
        <f t="shared" si="1"/>
        <v/>
      </c>
      <c r="D70" s="26">
        <v>0</v>
      </c>
    </row>
    <row r="71" spans="1:4">
      <c r="A71" s="19">
        <v>0.62</v>
      </c>
      <c r="C71" s="20" t="str">
        <f t="shared" si="1"/>
        <v/>
      </c>
      <c r="D71" s="26">
        <v>0</v>
      </c>
    </row>
    <row r="72" spans="1:4">
      <c r="A72" s="19">
        <v>0.58299999999999996</v>
      </c>
      <c r="C72" s="20" t="str">
        <f t="shared" si="1"/>
        <v/>
      </c>
      <c r="D72" s="26">
        <v>0</v>
      </c>
    </row>
    <row r="73" spans="1:4">
      <c r="A73" s="19">
        <v>0.59199999999999997</v>
      </c>
      <c r="C73" s="20" t="str">
        <f t="shared" si="1"/>
        <v/>
      </c>
      <c r="D73" s="26">
        <v>0</v>
      </c>
    </row>
    <row r="74" spans="1:4">
      <c r="A74" s="19">
        <v>0.64400000000000002</v>
      </c>
      <c r="C74" s="20" t="str">
        <f t="shared" si="1"/>
        <v/>
      </c>
      <c r="D74" s="26">
        <v>0</v>
      </c>
    </row>
    <row r="75" spans="1:4">
      <c r="A75" s="19">
        <v>0.63800000000000001</v>
      </c>
      <c r="C75" s="20" t="str">
        <f t="shared" si="1"/>
        <v/>
      </c>
      <c r="D75" s="26">
        <v>0</v>
      </c>
    </row>
    <row r="76" spans="1:4">
      <c r="A76" s="19">
        <v>0.60099999999999998</v>
      </c>
      <c r="C76" s="20" t="str">
        <f t="shared" si="1"/>
        <v/>
      </c>
      <c r="D76" s="26">
        <v>0</v>
      </c>
    </row>
    <row r="77" spans="1:4">
      <c r="A77" s="19">
        <v>0.60899999999999999</v>
      </c>
      <c r="C77" s="20" t="str">
        <f t="shared" si="1"/>
        <v/>
      </c>
      <c r="D77" s="26">
        <v>0</v>
      </c>
    </row>
    <row r="78" spans="1:4">
      <c r="A78" s="19">
        <v>0.66100000000000003</v>
      </c>
      <c r="C78" s="20" t="str">
        <f t="shared" si="1"/>
        <v/>
      </c>
      <c r="D78" s="26">
        <v>0</v>
      </c>
    </row>
    <row r="79" spans="1:4">
      <c r="A79" s="19">
        <v>0.65600000000000003</v>
      </c>
      <c r="C79" s="20" t="str">
        <f t="shared" si="1"/>
        <v/>
      </c>
      <c r="D79" s="26">
        <v>0</v>
      </c>
    </row>
    <row r="80" spans="1:4">
      <c r="A80" s="19">
        <v>0.621</v>
      </c>
      <c r="C80" s="20" t="str">
        <f t="shared" si="1"/>
        <v/>
      </c>
      <c r="D80" s="26">
        <v>0</v>
      </c>
    </row>
    <row r="81" spans="1:4">
      <c r="A81" s="19">
        <v>0.61899999999999999</v>
      </c>
      <c r="C81" s="20" t="str">
        <f t="shared" si="1"/>
        <v/>
      </c>
      <c r="D81" s="26">
        <v>0</v>
      </c>
    </row>
    <row r="82" spans="1:4">
      <c r="A82" s="19">
        <v>0.33100000000000002</v>
      </c>
      <c r="C82" s="20" t="str">
        <f t="shared" si="1"/>
        <v/>
      </c>
      <c r="D82" s="26">
        <v>0</v>
      </c>
    </row>
    <row r="83" spans="1:4">
      <c r="A83" s="19">
        <v>0.32800000000000001</v>
      </c>
      <c r="C83" s="20" t="str">
        <f t="shared" si="1"/>
        <v/>
      </c>
      <c r="D83" s="26">
        <v>0</v>
      </c>
    </row>
    <row r="84" spans="1:4">
      <c r="A84" s="19">
        <v>0.24</v>
      </c>
      <c r="C84" s="20" t="str">
        <f t="shared" si="1"/>
        <v/>
      </c>
      <c r="D84" s="26">
        <v>0</v>
      </c>
    </row>
    <row r="85" spans="1:4">
      <c r="A85" s="19">
        <v>0.24099999999999999</v>
      </c>
      <c r="C85" s="20" t="str">
        <f t="shared" si="1"/>
        <v/>
      </c>
      <c r="D85" s="26">
        <v>0</v>
      </c>
    </row>
    <row r="86" spans="1:4">
      <c r="A86" s="19">
        <v>0.33100000000000002</v>
      </c>
      <c r="C86" s="20" t="str">
        <f t="shared" si="1"/>
        <v/>
      </c>
      <c r="D86" s="26">
        <v>0</v>
      </c>
    </row>
    <row r="87" spans="1:4">
      <c r="A87" s="19">
        <v>0.32800000000000001</v>
      </c>
      <c r="C87" s="20" t="str">
        <f t="shared" si="1"/>
        <v/>
      </c>
      <c r="D87" s="26">
        <v>0</v>
      </c>
    </row>
    <row r="88" spans="1:4">
      <c r="A88" s="19">
        <v>0.24399999999999999</v>
      </c>
      <c r="C88" s="20" t="str">
        <f t="shared" si="1"/>
        <v/>
      </c>
      <c r="D88" s="26">
        <v>0</v>
      </c>
    </row>
    <row r="89" spans="1:4">
      <c r="A89" s="19">
        <v>0.24099999999999999</v>
      </c>
      <c r="C89" s="20" t="str">
        <f t="shared" si="1"/>
        <v/>
      </c>
      <c r="D89" s="26">
        <v>0</v>
      </c>
    </row>
    <row r="90" spans="1:4">
      <c r="A90" s="19">
        <v>0.33200000000000002</v>
      </c>
      <c r="C90" s="20" t="str">
        <f t="shared" si="1"/>
        <v/>
      </c>
      <c r="D90" s="26">
        <v>0</v>
      </c>
    </row>
    <row r="91" spans="1:4">
      <c r="A91" s="19">
        <v>0.32800000000000001</v>
      </c>
      <c r="C91" s="20" t="str">
        <f t="shared" si="1"/>
        <v/>
      </c>
      <c r="D91" s="26">
        <v>0</v>
      </c>
    </row>
    <row r="92" spans="1:4">
      <c r="A92" s="19">
        <v>0.247</v>
      </c>
      <c r="C92" s="20" t="str">
        <f t="shared" si="1"/>
        <v/>
      </c>
      <c r="D92" s="26">
        <v>0</v>
      </c>
    </row>
    <row r="93" spans="1:4">
      <c r="A93" s="19">
        <v>0.245</v>
      </c>
      <c r="C93" s="20" t="str">
        <f t="shared" si="1"/>
        <v/>
      </c>
      <c r="D93" s="26">
        <v>0</v>
      </c>
    </row>
    <row r="94" spans="1:4">
      <c r="A94" s="19">
        <v>0.32800000000000001</v>
      </c>
      <c r="C94" s="20" t="str">
        <f t="shared" si="1"/>
        <v/>
      </c>
      <c r="D94" s="26">
        <v>0</v>
      </c>
    </row>
    <row r="95" spans="1:4">
      <c r="A95" s="19">
        <v>0.32700000000000001</v>
      </c>
      <c r="C95" s="20" t="str">
        <f t="shared" si="1"/>
        <v/>
      </c>
      <c r="D95" s="26">
        <v>0</v>
      </c>
    </row>
    <row r="96" spans="1:4">
      <c r="A96" s="19">
        <v>0.246</v>
      </c>
      <c r="C96" s="20" t="str">
        <f t="shared" si="1"/>
        <v/>
      </c>
      <c r="D96" s="26">
        <v>0</v>
      </c>
    </row>
    <row r="97" spans="1:4">
      <c r="A97" s="19">
        <v>0.247</v>
      </c>
      <c r="C97" s="20" t="str">
        <f t="shared" si="1"/>
        <v/>
      </c>
      <c r="D97" s="26">
        <v>0</v>
      </c>
    </row>
    <row r="98" spans="1:4">
      <c r="A98" s="19">
        <v>0.33</v>
      </c>
      <c r="C98" s="20" t="str">
        <f t="shared" si="1"/>
        <v/>
      </c>
      <c r="D98" s="26"/>
    </row>
    <row r="99" spans="1:4">
      <c r="A99" s="19">
        <v>0.32800000000000001</v>
      </c>
      <c r="C99" s="20" t="str">
        <f t="shared" si="1"/>
        <v/>
      </c>
      <c r="D99" s="26"/>
    </row>
    <row r="100" spans="1:4">
      <c r="A100" s="19">
        <v>0.25</v>
      </c>
      <c r="C100" s="20" t="str">
        <f t="shared" si="1"/>
        <v/>
      </c>
      <c r="D100" s="26"/>
    </row>
    <row r="101" spans="1:4">
      <c r="A101" s="19">
        <v>0.25</v>
      </c>
      <c r="C101" s="20" t="str">
        <f t="shared" si="1"/>
        <v/>
      </c>
      <c r="D101" s="26"/>
    </row>
    <row r="102" spans="1:4">
      <c r="A102" s="19">
        <v>0.33600000000000002</v>
      </c>
      <c r="C102" s="20" t="str">
        <f t="shared" si="1"/>
        <v/>
      </c>
      <c r="D102" s="26"/>
    </row>
    <row r="103" spans="1:4">
      <c r="A103" s="19">
        <v>0.32900000000000001</v>
      </c>
      <c r="C103" s="20" t="str">
        <f t="shared" si="1"/>
        <v/>
      </c>
      <c r="D103" s="26"/>
    </row>
    <row r="104" spans="1:4">
      <c r="A104" s="19">
        <v>0.252</v>
      </c>
      <c r="C104" s="20" t="str">
        <f t="shared" si="1"/>
        <v/>
      </c>
      <c r="D104" s="26"/>
    </row>
    <row r="105" spans="1:4">
      <c r="A105" s="19">
        <v>0.254</v>
      </c>
      <c r="C105" s="20" t="str">
        <f t="shared" si="1"/>
        <v/>
      </c>
      <c r="D105" s="26"/>
    </row>
    <row r="106" spans="1:4">
      <c r="A106" s="19">
        <v>0.33500000000000002</v>
      </c>
      <c r="C106" s="20" t="str">
        <f t="shared" si="1"/>
        <v/>
      </c>
      <c r="D106" s="26"/>
    </row>
    <row r="107" spans="1:4">
      <c r="A107" s="19">
        <v>0.33300000000000002</v>
      </c>
      <c r="C107" s="20" t="str">
        <f t="shared" si="1"/>
        <v/>
      </c>
      <c r="D107" s="26"/>
    </row>
    <row r="108" spans="1:4">
      <c r="A108" s="19">
        <v>0.254</v>
      </c>
      <c r="C108" s="20" t="str">
        <f t="shared" si="1"/>
        <v/>
      </c>
      <c r="D108" s="26"/>
    </row>
    <row r="109" spans="1:4">
      <c r="A109" s="19">
        <v>0.25600000000000001</v>
      </c>
      <c r="C109" s="20" t="str">
        <f t="shared" si="1"/>
        <v/>
      </c>
      <c r="D109" s="26"/>
    </row>
    <row r="110" spans="1:4">
      <c r="A110" s="19">
        <v>0.33900000000000002</v>
      </c>
      <c r="C110" s="20" t="str">
        <f t="shared" si="1"/>
        <v/>
      </c>
      <c r="D110" s="26"/>
    </row>
    <row r="111" spans="1:4">
      <c r="A111" s="19">
        <v>0.33500000000000002</v>
      </c>
      <c r="C111" s="20" t="str">
        <f t="shared" si="1"/>
        <v/>
      </c>
      <c r="D111" s="26"/>
    </row>
    <row r="112" spans="1:4">
      <c r="A112" s="19">
        <v>0.26100000000000001</v>
      </c>
      <c r="C112" s="20" t="str">
        <f t="shared" si="1"/>
        <v/>
      </c>
      <c r="D112" s="26"/>
    </row>
    <row r="113" spans="1:4">
      <c r="A113" s="19">
        <v>0.26100000000000001</v>
      </c>
      <c r="C113" s="20" t="str">
        <f t="shared" si="1"/>
        <v/>
      </c>
      <c r="D113" s="26"/>
    </row>
    <row r="114" spans="1:4">
      <c r="A114" s="19">
        <v>0.34499999999999997</v>
      </c>
      <c r="C114" s="20" t="str">
        <f t="shared" si="1"/>
        <v/>
      </c>
      <c r="D114" s="26"/>
    </row>
    <row r="115" spans="1:4">
      <c r="A115" s="19">
        <v>0.34200000000000003</v>
      </c>
      <c r="C115" s="20" t="str">
        <f t="shared" si="1"/>
        <v/>
      </c>
      <c r="D115" s="26"/>
    </row>
    <row r="116" spans="1:4">
      <c r="A116" s="19">
        <v>0.26500000000000001</v>
      </c>
      <c r="C116" s="20" t="str">
        <f t="shared" si="1"/>
        <v/>
      </c>
      <c r="D116" s="26"/>
    </row>
    <row r="117" spans="1:4">
      <c r="A117" s="19">
        <v>0.26600000000000001</v>
      </c>
      <c r="C117" s="20" t="str">
        <f t="shared" si="1"/>
        <v/>
      </c>
      <c r="D117" s="26"/>
    </row>
    <row r="118" spans="1:4">
      <c r="A118" s="19">
        <v>0.34799999999999998</v>
      </c>
      <c r="C118" s="20" t="str">
        <f t="shared" si="1"/>
        <v/>
      </c>
      <c r="D118" s="26"/>
    </row>
    <row r="119" spans="1:4">
      <c r="A119" s="19">
        <v>0.34499999999999997</v>
      </c>
      <c r="C119" s="20" t="str">
        <f t="shared" si="1"/>
        <v/>
      </c>
      <c r="D119" s="26"/>
    </row>
    <row r="120" spans="1:4">
      <c r="A120" s="19">
        <v>0.27300000000000002</v>
      </c>
      <c r="C120" s="20" t="str">
        <f t="shared" si="1"/>
        <v/>
      </c>
      <c r="D120" s="26"/>
    </row>
    <row r="121" spans="1:4">
      <c r="A121" s="19">
        <v>0.26900000000000002</v>
      </c>
      <c r="C121" s="20" t="str">
        <f t="shared" si="1"/>
        <v/>
      </c>
      <c r="D121" s="26"/>
    </row>
    <row r="122" spans="1:4">
      <c r="A122" s="19">
        <v>0.45</v>
      </c>
      <c r="C122" s="20" t="str">
        <f t="shared" si="1"/>
        <v/>
      </c>
      <c r="D122" s="26"/>
    </row>
    <row r="123" spans="1:4">
      <c r="A123" s="19">
        <v>0.443</v>
      </c>
      <c r="C123" s="20" t="str">
        <f t="shared" si="1"/>
        <v/>
      </c>
      <c r="D123" s="26"/>
    </row>
    <row r="124" spans="1:4">
      <c r="A124" s="19">
        <v>0.372</v>
      </c>
      <c r="C124" s="20" t="str">
        <f t="shared" si="1"/>
        <v/>
      </c>
      <c r="D124" s="26"/>
    </row>
    <row r="125" spans="1:4">
      <c r="A125" s="19">
        <v>0.376</v>
      </c>
      <c r="C125" s="20" t="str">
        <f t="shared" si="1"/>
        <v/>
      </c>
      <c r="D125" s="26"/>
    </row>
    <row r="126" spans="1:4">
      <c r="A126" s="19">
        <v>0.46700000000000003</v>
      </c>
      <c r="C126" s="20" t="str">
        <f t="shared" si="1"/>
        <v/>
      </c>
      <c r="D126" s="26"/>
    </row>
    <row r="127" spans="1:4">
      <c r="A127" s="19">
        <v>0.45800000000000002</v>
      </c>
      <c r="C127" s="20" t="str">
        <f t="shared" si="1"/>
        <v/>
      </c>
      <c r="D127" s="26"/>
    </row>
    <row r="128" spans="1:4">
      <c r="A128" s="19">
        <v>0.38700000000000001</v>
      </c>
      <c r="C128" s="20" t="str">
        <f t="shared" si="1"/>
        <v/>
      </c>
      <c r="D128" s="26"/>
    </row>
    <row r="129" spans="1:4">
      <c r="A129" s="19">
        <v>0.39100000000000001</v>
      </c>
      <c r="C129" s="20" t="str">
        <f t="shared" si="1"/>
        <v/>
      </c>
      <c r="D129" s="26"/>
    </row>
    <row r="130" spans="1:4">
      <c r="A130" s="19">
        <v>0.47199999999999998</v>
      </c>
      <c r="C130" s="20" t="str">
        <f t="shared" si="1"/>
        <v/>
      </c>
      <c r="D130" s="26"/>
    </row>
    <row r="131" spans="1:4">
      <c r="A131" s="19">
        <v>0.47199999999999998</v>
      </c>
      <c r="C131" s="20" t="str">
        <f t="shared" ref="C131:C161" si="2">IF(AND(A131&lt;&gt;"",B131&lt;&gt;""),IF(OR(A131&lt;0.002,B131-A131&lt;0),"NG Zero Set",ROUNDUP(B131-A131,3)),"")</f>
        <v/>
      </c>
      <c r="D131" s="26"/>
    </row>
    <row r="132" spans="1:4">
      <c r="A132" s="19">
        <v>0.40400000000000003</v>
      </c>
      <c r="C132" s="20" t="str">
        <f t="shared" si="2"/>
        <v/>
      </c>
      <c r="D132" s="26"/>
    </row>
    <row r="133" spans="1:4">
      <c r="A133" s="19">
        <v>0.39600000000000002</v>
      </c>
      <c r="C133" s="20" t="str">
        <f t="shared" si="2"/>
        <v/>
      </c>
      <c r="D133" s="26"/>
    </row>
    <row r="134" spans="1:4">
      <c r="A134" s="19">
        <v>0.49</v>
      </c>
      <c r="C134" s="20" t="str">
        <f t="shared" si="2"/>
        <v/>
      </c>
      <c r="D134" s="26"/>
    </row>
    <row r="135" spans="1:4">
      <c r="A135" s="19">
        <v>0.49</v>
      </c>
      <c r="C135" s="20" t="str">
        <f t="shared" si="2"/>
        <v/>
      </c>
      <c r="D135" s="26"/>
    </row>
    <row r="136" spans="1:4">
      <c r="A136" s="19">
        <v>0.42299999999999999</v>
      </c>
      <c r="C136" s="20" t="str">
        <f t="shared" si="2"/>
        <v/>
      </c>
      <c r="D136" s="26"/>
    </row>
    <row r="137" spans="1:4">
      <c r="A137" s="19">
        <v>0.42299999999999999</v>
      </c>
      <c r="C137" s="20" t="str">
        <f t="shared" si="2"/>
        <v/>
      </c>
      <c r="D137" s="26"/>
    </row>
    <row r="138" spans="1:4">
      <c r="A138" s="19">
        <v>0.51</v>
      </c>
      <c r="C138" s="20" t="str">
        <f t="shared" si="2"/>
        <v/>
      </c>
      <c r="D138" s="26"/>
    </row>
    <row r="139" spans="1:4">
      <c r="A139" s="19">
        <v>0.499</v>
      </c>
      <c r="C139" s="20" t="str">
        <f t="shared" si="2"/>
        <v/>
      </c>
      <c r="D139" s="26"/>
    </row>
    <row r="140" spans="1:4">
      <c r="A140" s="19">
        <v>0.44700000000000001</v>
      </c>
      <c r="C140" s="20" t="str">
        <f t="shared" si="2"/>
        <v/>
      </c>
      <c r="D140" s="26"/>
    </row>
    <row r="141" spans="1:4">
      <c r="A141" s="19">
        <v>0.44800000000000001</v>
      </c>
      <c r="C141" s="20" t="str">
        <f t="shared" si="2"/>
        <v/>
      </c>
      <c r="D141" s="26"/>
    </row>
    <row r="142" spans="1:4">
      <c r="A142" s="19">
        <v>0.53200000000000003</v>
      </c>
      <c r="C142" s="20" t="str">
        <f t="shared" si="2"/>
        <v/>
      </c>
      <c r="D142" s="26"/>
    </row>
    <row r="143" spans="1:4">
      <c r="A143" s="19">
        <v>0.52400000000000002</v>
      </c>
      <c r="C143" s="20" t="str">
        <f t="shared" si="2"/>
        <v/>
      </c>
      <c r="D143" s="26"/>
    </row>
    <row r="144" spans="1:4">
      <c r="A144" s="19">
        <v>0.46600000000000003</v>
      </c>
      <c r="C144" s="20" t="str">
        <f t="shared" si="2"/>
        <v/>
      </c>
      <c r="D144" s="26"/>
    </row>
    <row r="145" spans="1:4">
      <c r="A145" s="19">
        <v>0.47</v>
      </c>
      <c r="C145" s="20" t="str">
        <f t="shared" si="2"/>
        <v/>
      </c>
      <c r="D145" s="26"/>
    </row>
    <row r="146" spans="1:4">
      <c r="A146" s="19">
        <v>0.55400000000000005</v>
      </c>
      <c r="C146" s="20" t="str">
        <f t="shared" si="2"/>
        <v/>
      </c>
      <c r="D146" s="26"/>
    </row>
    <row r="147" spans="1:4">
      <c r="A147" s="19">
        <v>0.54600000000000004</v>
      </c>
      <c r="C147" s="20" t="str">
        <f t="shared" si="2"/>
        <v/>
      </c>
      <c r="D147" s="26"/>
    </row>
    <row r="148" spans="1:4">
      <c r="A148" s="19">
        <v>0.49</v>
      </c>
      <c r="C148" s="20" t="str">
        <f t="shared" si="2"/>
        <v/>
      </c>
      <c r="D148" s="26"/>
    </row>
    <row r="149" spans="1:4">
      <c r="A149" s="19">
        <v>0.496</v>
      </c>
      <c r="C149" s="20" t="str">
        <f t="shared" si="2"/>
        <v/>
      </c>
      <c r="D149" s="26"/>
    </row>
    <row r="150" spans="1:4">
      <c r="A150" s="19">
        <v>0.57199999999999995</v>
      </c>
      <c r="C150" s="20" t="str">
        <f t="shared" si="2"/>
        <v/>
      </c>
      <c r="D150" s="26"/>
    </row>
    <row r="151" spans="1:4">
      <c r="A151" s="19">
        <v>0.56699999999999995</v>
      </c>
      <c r="C151" s="20" t="str">
        <f t="shared" si="2"/>
        <v/>
      </c>
      <c r="D151" s="26"/>
    </row>
    <row r="152" spans="1:4">
      <c r="A152" s="19">
        <v>0.51700000000000002</v>
      </c>
      <c r="C152" s="20" t="str">
        <f t="shared" si="2"/>
        <v/>
      </c>
      <c r="D152" s="26"/>
    </row>
    <row r="153" spans="1:4">
      <c r="A153" s="19">
        <v>0.52300000000000002</v>
      </c>
      <c r="C153" s="20" t="str">
        <f t="shared" si="2"/>
        <v/>
      </c>
      <c r="D153" s="26"/>
    </row>
    <row r="154" spans="1:4">
      <c r="A154" s="19">
        <v>0.58799999999999997</v>
      </c>
      <c r="C154" s="20" t="str">
        <f t="shared" si="2"/>
        <v/>
      </c>
      <c r="D154" s="26"/>
    </row>
    <row r="155" spans="1:4">
      <c r="A155" s="19">
        <v>0.58899999999999997</v>
      </c>
      <c r="C155" s="20" t="str">
        <f t="shared" si="2"/>
        <v/>
      </c>
      <c r="D155" s="26"/>
    </row>
    <row r="156" spans="1:4">
      <c r="A156" s="19">
        <v>0.53900000000000003</v>
      </c>
      <c r="C156" s="20" t="str">
        <f t="shared" si="2"/>
        <v/>
      </c>
      <c r="D156" s="26"/>
    </row>
    <row r="157" spans="1:4">
      <c r="A157" s="19">
        <v>0.54100000000000004</v>
      </c>
      <c r="C157" s="20" t="str">
        <f t="shared" si="2"/>
        <v/>
      </c>
      <c r="D157" s="26"/>
    </row>
    <row r="158" spans="1:4">
      <c r="A158" s="19">
        <v>0.60599999999999998</v>
      </c>
      <c r="C158" s="20" t="str">
        <f t="shared" si="2"/>
        <v/>
      </c>
      <c r="D158" s="26"/>
    </row>
    <row r="159" spans="1:4">
      <c r="A159" s="19">
        <v>0.60599999999999998</v>
      </c>
      <c r="C159" s="20" t="str">
        <f t="shared" si="2"/>
        <v/>
      </c>
      <c r="D159" s="26"/>
    </row>
    <row r="160" spans="1:4">
      <c r="A160" s="19">
        <v>0.56599999999999995</v>
      </c>
      <c r="C160" s="20" t="str">
        <f t="shared" si="2"/>
        <v/>
      </c>
      <c r="D160" s="26"/>
    </row>
    <row r="161" spans="1:4">
      <c r="A161" s="19">
        <v>0.56100000000000005</v>
      </c>
      <c r="C161" s="20" t="str">
        <f t="shared" si="2"/>
        <v/>
      </c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NC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464</v>
      </c>
      <c r="GZ2" s="108">
        <v>0.39100000000000001</v>
      </c>
      <c r="HA2" s="108">
        <v>0.39800000000000002</v>
      </c>
      <c r="HB2" s="108">
        <v>0.36199999999999999</v>
      </c>
      <c r="HC2" s="108">
        <v>0.35199999999999998</v>
      </c>
      <c r="HD2" s="108">
        <v>0.39100000000000001</v>
      </c>
      <c r="HE2" s="108">
        <v>0.38800000000000001</v>
      </c>
      <c r="HF2" s="108">
        <v>0.35299999999999998</v>
      </c>
      <c r="HG2" s="108">
        <v>0.35199999999999998</v>
      </c>
      <c r="HH2" s="108">
        <v>0.39200000000000002</v>
      </c>
      <c r="HI2" s="108">
        <v>0.39200000000000002</v>
      </c>
      <c r="HJ2" s="108">
        <v>0.35299999999999998</v>
      </c>
      <c r="HK2" s="108">
        <v>0.35399999999999998</v>
      </c>
      <c r="HL2" s="108">
        <v>0.39400000000000002</v>
      </c>
      <c r="HM2" s="108">
        <v>0.40500000000000003</v>
      </c>
      <c r="HN2" s="108">
        <v>0.35199999999999998</v>
      </c>
      <c r="HO2" s="108">
        <v>0.35199999999999998</v>
      </c>
      <c r="HP2" s="108">
        <v>0.39300000000000002</v>
      </c>
      <c r="HQ2" s="108">
        <v>0.39200000000000002</v>
      </c>
      <c r="HR2" s="108">
        <v>0.35299999999999998</v>
      </c>
      <c r="HS2" s="108">
        <v>0.35199999999999998</v>
      </c>
      <c r="HT2" s="108">
        <v>0.39700000000000002</v>
      </c>
      <c r="HU2" s="108">
        <v>0.39400000000000002</v>
      </c>
      <c r="HV2" s="108">
        <v>0.35199999999999998</v>
      </c>
      <c r="HW2" s="108">
        <v>0.35399999999999998</v>
      </c>
      <c r="HX2" s="108">
        <v>0.40100000000000002</v>
      </c>
      <c r="HY2" s="108">
        <v>0.39700000000000002</v>
      </c>
      <c r="HZ2" s="108">
        <v>0.35699999999999998</v>
      </c>
      <c r="IA2" s="108">
        <v>0.35899999999999999</v>
      </c>
      <c r="IB2" s="108">
        <v>0.40400000000000003</v>
      </c>
      <c r="IC2" s="108">
        <v>0.4</v>
      </c>
      <c r="ID2" s="108">
        <v>0.35899999999999999</v>
      </c>
      <c r="IE2" s="108">
        <v>0.36199999999999999</v>
      </c>
      <c r="IF2" s="108">
        <v>0.40899999999999997</v>
      </c>
      <c r="IG2" s="108">
        <v>0.40699999999999997</v>
      </c>
      <c r="IH2" s="108">
        <v>0.36399999999999999</v>
      </c>
      <c r="II2" s="108">
        <v>0.36699999999999999</v>
      </c>
      <c r="IJ2" s="108">
        <v>0.41499999999999998</v>
      </c>
      <c r="IK2" s="108">
        <v>0.41099999999999998</v>
      </c>
      <c r="IL2" s="108">
        <v>0.36899999999999999</v>
      </c>
      <c r="IM2" s="108">
        <v>0.371</v>
      </c>
      <c r="IN2" s="108">
        <v>0.52200000000000002</v>
      </c>
      <c r="IO2" s="108">
        <v>0.499</v>
      </c>
      <c r="IP2" s="108">
        <v>0.46400000000000002</v>
      </c>
      <c r="IQ2" s="108">
        <v>0.46400000000000002</v>
      </c>
      <c r="IR2" s="108">
        <v>0.52500000000000002</v>
      </c>
      <c r="IS2" s="108">
        <v>0.51600000000000001</v>
      </c>
      <c r="IT2" s="108">
        <v>0.47699999999999998</v>
      </c>
      <c r="IU2" s="108">
        <v>0.47799999999999998</v>
      </c>
      <c r="IV2" s="108">
        <v>0.54100000000000004</v>
      </c>
      <c r="IW2" s="108">
        <v>0.53200000000000003</v>
      </c>
      <c r="IX2" s="108">
        <v>0.49099999999999999</v>
      </c>
      <c r="IY2" s="108">
        <v>0.496</v>
      </c>
      <c r="IZ2" s="108">
        <v>0.55100000000000005</v>
      </c>
      <c r="JA2" s="108">
        <v>0.54800000000000004</v>
      </c>
      <c r="JB2" s="108">
        <v>0.50600000000000001</v>
      </c>
      <c r="JC2" s="108">
        <v>0.505</v>
      </c>
      <c r="JD2" s="108">
        <v>0.56899999999999995</v>
      </c>
      <c r="JE2" s="108">
        <v>0.56599999999999995</v>
      </c>
      <c r="JF2" s="108">
        <v>0.52200000000000002</v>
      </c>
      <c r="JG2" s="108">
        <v>0.52200000000000002</v>
      </c>
      <c r="JH2" s="108">
        <v>0.58899999999999997</v>
      </c>
      <c r="JI2" s="108">
        <v>0.58099999999999996</v>
      </c>
      <c r="JJ2" s="108">
        <v>0.53900000000000003</v>
      </c>
      <c r="JK2" s="108">
        <v>0.54400000000000004</v>
      </c>
      <c r="JL2" s="108">
        <v>0.60799999999999998</v>
      </c>
      <c r="JM2" s="108">
        <v>0.59899999999999998</v>
      </c>
      <c r="JN2" s="108">
        <v>0.55900000000000005</v>
      </c>
      <c r="JO2" s="108">
        <v>0.56699999999999995</v>
      </c>
      <c r="JP2" s="108">
        <v>0.628</v>
      </c>
      <c r="JQ2" s="108">
        <v>0.62</v>
      </c>
      <c r="JR2" s="108">
        <v>0.58299999999999996</v>
      </c>
      <c r="JS2" s="108">
        <v>0.59199999999999997</v>
      </c>
      <c r="JT2" s="108">
        <v>0.64400000000000002</v>
      </c>
      <c r="JU2" s="108">
        <v>0.63800000000000001</v>
      </c>
      <c r="JV2" s="108">
        <v>0.60099999999999998</v>
      </c>
      <c r="JW2" s="108">
        <v>0.60899999999999999</v>
      </c>
      <c r="JX2" s="108">
        <v>0.66100000000000003</v>
      </c>
      <c r="JY2" s="108">
        <v>0.65600000000000003</v>
      </c>
      <c r="JZ2" s="108">
        <v>0.621</v>
      </c>
      <c r="KA2" s="108">
        <v>0.61899999999999999</v>
      </c>
      <c r="KB2" s="108">
        <v>0.33100000000000002</v>
      </c>
      <c r="KC2" s="108">
        <v>0.32800000000000001</v>
      </c>
      <c r="KD2" s="108">
        <v>0.24</v>
      </c>
      <c r="KE2" s="108">
        <v>0.24099999999999999</v>
      </c>
      <c r="KF2" s="108">
        <v>0.33100000000000002</v>
      </c>
      <c r="KG2" s="108">
        <v>0.32800000000000001</v>
      </c>
      <c r="KH2" s="108">
        <v>0.24399999999999999</v>
      </c>
      <c r="KI2" s="108">
        <v>0.24099999999999999</v>
      </c>
      <c r="KJ2" s="108">
        <v>0.33200000000000002</v>
      </c>
      <c r="KK2" s="108">
        <v>0.32800000000000001</v>
      </c>
      <c r="KL2" s="108">
        <v>0.247</v>
      </c>
      <c r="KM2" s="108">
        <v>0.245</v>
      </c>
      <c r="KN2" s="108">
        <v>0.32800000000000001</v>
      </c>
      <c r="KO2" s="108">
        <v>0.32700000000000001</v>
      </c>
      <c r="KP2" s="108">
        <v>0.246</v>
      </c>
      <c r="KQ2" s="108">
        <v>0.247</v>
      </c>
      <c r="KR2" s="108">
        <v>0.33</v>
      </c>
      <c r="KS2" s="108">
        <v>0.32800000000000001</v>
      </c>
      <c r="KT2" s="108">
        <v>0.25</v>
      </c>
      <c r="KU2" s="108">
        <v>0.25</v>
      </c>
      <c r="KV2" s="108">
        <v>0.33600000000000002</v>
      </c>
      <c r="KW2" s="108">
        <v>0.32900000000000001</v>
      </c>
      <c r="KX2" s="108">
        <v>0.252</v>
      </c>
      <c r="KY2" s="108">
        <v>0.254</v>
      </c>
      <c r="KZ2" s="108">
        <v>0.33500000000000002</v>
      </c>
      <c r="LA2" s="108">
        <v>0.33300000000000002</v>
      </c>
      <c r="LB2" s="108">
        <v>0.254</v>
      </c>
      <c r="LC2" s="108">
        <v>0.25600000000000001</v>
      </c>
      <c r="LD2" s="108">
        <v>0.33900000000000002</v>
      </c>
      <c r="LE2" s="108">
        <v>0.33500000000000002</v>
      </c>
      <c r="LF2" s="108">
        <v>0.26100000000000001</v>
      </c>
      <c r="LG2" s="108">
        <v>0.26100000000000001</v>
      </c>
      <c r="LH2" s="108">
        <v>0.34499999999999997</v>
      </c>
      <c r="LI2" s="108">
        <v>0.34200000000000003</v>
      </c>
      <c r="LJ2" s="108">
        <v>0.26500000000000001</v>
      </c>
      <c r="LK2" s="108">
        <v>0.26600000000000001</v>
      </c>
      <c r="LL2" s="108">
        <v>0.34799999999999998</v>
      </c>
      <c r="LM2" s="108">
        <v>0.34499999999999997</v>
      </c>
      <c r="LN2" s="108">
        <v>0.27300000000000002</v>
      </c>
      <c r="LO2" s="108">
        <v>0.26900000000000002</v>
      </c>
      <c r="LP2" s="108">
        <v>0.45</v>
      </c>
      <c r="LQ2" s="108">
        <v>0.443</v>
      </c>
      <c r="LR2" s="108">
        <v>0.372</v>
      </c>
      <c r="LS2" s="108">
        <v>0.376</v>
      </c>
      <c r="LT2" s="108">
        <v>0.46700000000000003</v>
      </c>
      <c r="LU2" s="108">
        <v>0.45800000000000002</v>
      </c>
      <c r="LV2" s="108">
        <v>0.38700000000000001</v>
      </c>
      <c r="LW2" s="108">
        <v>0.39100000000000001</v>
      </c>
      <c r="LX2" s="108">
        <v>0.47199999999999998</v>
      </c>
      <c r="LY2" s="108">
        <v>0.47199999999999998</v>
      </c>
      <c r="LZ2" s="108">
        <v>0.40400000000000003</v>
      </c>
      <c r="MA2" s="108">
        <v>0.39600000000000002</v>
      </c>
      <c r="MB2" s="108">
        <v>0.49</v>
      </c>
      <c r="MC2" s="108">
        <v>0.49</v>
      </c>
      <c r="MD2" s="108">
        <v>0.42299999999999999</v>
      </c>
      <c r="ME2" s="108">
        <v>0.42299999999999999</v>
      </c>
      <c r="MF2" s="108">
        <v>0.51</v>
      </c>
      <c r="MG2" s="108">
        <v>0.499</v>
      </c>
      <c r="MH2" s="108">
        <v>0.44700000000000001</v>
      </c>
      <c r="MI2" s="108">
        <v>0.44800000000000001</v>
      </c>
      <c r="MJ2" s="108">
        <v>0.53200000000000003</v>
      </c>
      <c r="MK2" s="108">
        <v>0.52400000000000002</v>
      </c>
      <c r="ML2" s="108">
        <v>0.46600000000000003</v>
      </c>
      <c r="MM2" s="108">
        <v>0.47</v>
      </c>
      <c r="MN2" s="108">
        <v>0.55400000000000005</v>
      </c>
      <c r="MO2" s="108">
        <v>0.54600000000000004</v>
      </c>
      <c r="MP2" s="108">
        <v>0.49</v>
      </c>
      <c r="MQ2" s="108">
        <v>0.496</v>
      </c>
      <c r="MR2" s="108">
        <v>0.57199999999999995</v>
      </c>
      <c r="MS2" s="108">
        <v>0.56699999999999995</v>
      </c>
      <c r="MT2" s="108">
        <v>0.51700000000000002</v>
      </c>
      <c r="MU2" s="108">
        <v>0.52300000000000002</v>
      </c>
      <c r="MV2" s="108">
        <v>0.58799999999999997</v>
      </c>
      <c r="MW2" s="108">
        <v>0.58899999999999997</v>
      </c>
      <c r="MX2" s="108">
        <v>0.53900000000000003</v>
      </c>
      <c r="MY2" s="108">
        <v>0.54100000000000004</v>
      </c>
      <c r="MZ2" s="108">
        <v>0.60599999999999998</v>
      </c>
      <c r="NA2" s="108">
        <v>0.60599999999999998</v>
      </c>
      <c r="NB2" s="108">
        <v>0.56599999999999995</v>
      </c>
      <c r="NC2" s="108">
        <v>0.56100000000000005</v>
      </c>
      <c r="BXV2" s="109">
        <v>1</v>
      </c>
      <c r="BXW2" s="108" t="s">
        <v>401</v>
      </c>
      <c r="BXX2" s="108" t="s">
        <v>154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465</v>
      </c>
      <c r="CAI2" s="108">
        <v>1794</v>
      </c>
      <c r="CAJ2" s="108" t="s">
        <v>466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467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468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469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468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470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471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472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473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474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454</v>
      </c>
      <c r="C2" s="125"/>
      <c r="D2" s="133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33"/>
      <c r="E3" s="76"/>
      <c r="F3" s="76"/>
      <c r="G3" s="76"/>
    </row>
    <row r="4" spans="2:7" ht="28.5" customHeight="1">
      <c r="B4" s="125"/>
      <c r="C4" s="125"/>
      <c r="D4" s="133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6" t="s">
        <v>215</v>
      </c>
      <c r="C6" s="127"/>
      <c r="D6" s="78"/>
      <c r="E6" s="78"/>
      <c r="F6" s="78"/>
      <c r="G6" s="78"/>
    </row>
    <row r="7" spans="2:7" ht="28.5" customHeight="1">
      <c r="B7" s="123" t="s">
        <v>216</v>
      </c>
      <c r="C7" s="124"/>
      <c r="D7" s="85" t="s">
        <v>218</v>
      </c>
      <c r="E7" s="85" t="s">
        <v>217</v>
      </c>
      <c r="F7" s="138" t="s">
        <v>219</v>
      </c>
      <c r="G7" s="130" t="s">
        <v>224</v>
      </c>
    </row>
    <row r="8" spans="2:7" ht="21" customHeight="1">
      <c r="B8" s="128" t="s">
        <v>316</v>
      </c>
      <c r="C8" s="129"/>
      <c r="D8" s="90"/>
      <c r="E8" s="90"/>
      <c r="F8" s="138"/>
      <c r="G8" s="131"/>
    </row>
    <row r="9" spans="2:7" ht="21" customHeight="1">
      <c r="B9" s="139" t="s">
        <v>11</v>
      </c>
      <c r="C9" s="140"/>
      <c r="D9" s="83"/>
      <c r="E9" s="83"/>
      <c r="F9" s="138"/>
      <c r="G9" s="131"/>
    </row>
    <row r="10" spans="2:7" ht="21" customHeight="1">
      <c r="B10" s="139" t="s">
        <v>12</v>
      </c>
      <c r="C10" s="140"/>
      <c r="D10" s="84"/>
      <c r="E10" s="84"/>
      <c r="F10" s="138"/>
      <c r="G10" s="131"/>
    </row>
    <row r="11" spans="2:7" ht="21" customHeight="1">
      <c r="B11" s="141" t="s">
        <v>1</v>
      </c>
      <c r="C11" s="142"/>
      <c r="D11" s="82">
        <f>MAX(D19:D20)</f>
        <v>0</v>
      </c>
      <c r="E11" s="82">
        <f>MAX(E19:E20)</f>
        <v>0</v>
      </c>
      <c r="F11" s="138"/>
      <c r="G11" s="131"/>
    </row>
    <row r="12" spans="2:7" ht="21" customHeight="1">
      <c r="B12" s="141" t="s">
        <v>2</v>
      </c>
      <c r="C12" s="142"/>
      <c r="D12" s="82">
        <f>MIN(D19:D20)</f>
        <v>0</v>
      </c>
      <c r="E12" s="82">
        <f>MIN(E19:E20)</f>
        <v>0</v>
      </c>
      <c r="F12" s="138"/>
      <c r="G12" s="131"/>
    </row>
    <row r="13" spans="2:7" ht="21" customHeight="1">
      <c r="B13" s="141" t="s">
        <v>3</v>
      </c>
      <c r="C13" s="142"/>
      <c r="D13" s="82" t="e">
        <f>AVERAGEA(D19:D20)</f>
        <v>#DIV/0!</v>
      </c>
      <c r="E13" s="82" t="e">
        <f>AVERAGEA(E19:E20)</f>
        <v>#DIV/0!</v>
      </c>
      <c r="F13" s="138"/>
      <c r="G13" s="131"/>
    </row>
    <row r="14" spans="2:7" s="73" customFormat="1" ht="21" customHeight="1">
      <c r="B14" s="134" t="s">
        <v>15</v>
      </c>
      <c r="C14" s="135"/>
      <c r="D14" s="74" t="e">
        <f>STDEV(D19:D20)</f>
        <v>#DIV/0!</v>
      </c>
      <c r="E14" s="74" t="e">
        <f>STDEV(E19:E20)</f>
        <v>#DIV/0!</v>
      </c>
      <c r="F14" s="138"/>
      <c r="G14" s="131"/>
    </row>
    <row r="15" spans="2:7" s="73" customFormat="1" ht="21" customHeight="1">
      <c r="B15" s="134" t="s">
        <v>16</v>
      </c>
      <c r="C15" s="135"/>
      <c r="D15" s="74" t="e">
        <f t="shared" ref="D15" si="0">(D9-D10)/(D14*6)</f>
        <v>#DIV/0!</v>
      </c>
      <c r="E15" s="74" t="e">
        <f t="shared" ref="E15" si="1">(E9-E10)/(E14*6)</f>
        <v>#DIV/0!</v>
      </c>
      <c r="F15" s="138"/>
      <c r="G15" s="131"/>
    </row>
    <row r="16" spans="2:7" s="73" customFormat="1" ht="21" customHeight="1">
      <c r="B16" s="134" t="s">
        <v>17</v>
      </c>
      <c r="C16" s="135"/>
      <c r="D16" s="74" t="e">
        <f>(D13-D10)/(D14*3)</f>
        <v>#DIV/0!</v>
      </c>
      <c r="E16" s="74" t="e">
        <f t="shared" ref="E16" si="2">(E13-E10)/(E14*3)</f>
        <v>#DIV/0!</v>
      </c>
      <c r="F16" s="138"/>
      <c r="G16" s="131"/>
    </row>
    <row r="17" spans="2:7" s="73" customFormat="1" ht="21" customHeight="1">
      <c r="B17" s="136" t="s">
        <v>18</v>
      </c>
      <c r="C17" s="137"/>
      <c r="D17" s="74" t="e">
        <f>(D9-D13)/(D14*3)</f>
        <v>#DIV/0!</v>
      </c>
      <c r="E17" s="74" t="e">
        <f t="shared" ref="E17" si="3">(E9-E13)/(E14*3)</f>
        <v>#DIV/0!</v>
      </c>
      <c r="F17" s="138"/>
      <c r="G17" s="131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8"/>
      <c r="G18" s="132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2025-10-18T08:49:11Z</dcterms:modified>
</cp:coreProperties>
</file>