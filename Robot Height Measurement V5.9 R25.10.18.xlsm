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<sst xmlns="http://schemas.openxmlformats.org/spreadsheetml/2006/main" count="714" uniqueCount="477">
  <si>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</si>
  <si>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</si>
  <si>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</si>
  <si>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</si>
  <si>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</si>
  <si>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</si>
  <si>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</si>
  <si>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</si>
  <si>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</si>
  <si>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</si>
  <si>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</si>
  <si>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</si>
  <si>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</si>
  <si>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</si>
  <si>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</si>
  <si>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</si>
  <si>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</si>
  <si>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</si>
  <si>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</si>
  <si>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</si>
  <si>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</si>
  <si>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</si>
  <si>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</si>
  <si>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</si>
  <si>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</si>
  <si>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</si>
  <si>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</si>
  <si>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</si>
  <si>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</si>
  <si>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</si>
  <si>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</si>
  <si>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</si>
  <si>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</si>
  <si>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</si>
  <si>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</si>
  <si>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</si>
  <si>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</si>
  <si>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</si>
  <si>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</si>
  <si>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</si>
  <si>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</si>
  <si>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</si>
  <si>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</si>
  <si>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</si>
  <si>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</si>
  <si>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</si>
  <si>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</si>
  <si>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</si>
  <si>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</si>
  <si>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</si>
  <si>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</si>
  <si>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</si>
  <si>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</si>
  <si>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</si>
  <si>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</si>
  <si>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</si>
  <si>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</si>
  <si>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</si>
  <si>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</si>
  <si>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</si>
  <si>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</si>
  <si>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</si>
  <si>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</si>
  <si>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</si>
  <si>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</si>
  <si>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</si>
  <si>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</si>
  <si>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</si>
  <si>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</si>
  <si>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</si>
  <si>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</si>
  <si>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</si>
  <si>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</si>
  <si>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</si>
  <si>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</si>
  <si>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</si>
  <si>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</si>
  <si>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</si>
  <si>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</si>
  <si>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</si>
  <si>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</si>
  <si>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</si>
  <si>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</si>
  <si>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</si>
  <si>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</si>
  <si>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</si>
  <si>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</si>
  <si>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</si>
  <si>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</si>
  <si>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</si>
  <si>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</si>
  <si>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</si>
  <si>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</si>
  <si>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</si>
  <si>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</si>
  <si>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</si>
  <si>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</si>
  <si>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</si>
  <si>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</si>
  <si>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</si>
  <si>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</si>
  <si>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</si>
  <si>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</si>
  <si>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</si>
  <si>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</si>
  <si>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</si>
  <si>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</si>
  <si>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</si>
  <si>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</si>
  <si>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</si>
  <si>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</si>
  <si>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</si>
  <si>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</si>
  <si>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</si>
  <si>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</si>
  <si>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</si>
  <si>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</si>
  <si>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</si>
  <si>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</si>
  <si>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</si>
  <si>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</si>
  <si>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</si>
  <si>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</si>
  <si>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</si>
  <si>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</si>
  <si>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</si>
  <si>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</si>
  <si>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</si>
  <si>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</si>
  <si>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</si>
  <si>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</si>
  <si>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</si>
  <si>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</si>
  <si>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</si>
  <si>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</si>
  <si>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</si>
  <si>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</si>
  <si>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</si>
  <si>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</si>
  <si>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</si>
  <si>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</si>
  <si>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</si>
  <si>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</si>
  <si>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</si>
  <si>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</si>
  <si>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</si>
  <si>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</si>
  <si>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</si>
  <si>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</si>
  <si>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</si>
  <si>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</si>
  <si>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</si>
  <si>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</si>
  <si>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</si>
  <si>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</si>
  <si>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</si>
  <si>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</si>
  <si>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</si>
  <si>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</si>
  <si>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</si>
  <si>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</si>
  <si>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</si>
  <si>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</si>
  <si>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</si>
  <si>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</si>
  <si>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</si>
  <si>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</si>
  <si>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</si>
  <si>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</si>
  <si>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</si>
  <si>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</si>
  <si>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</si>
  <si>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</si>
  <si>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</si>
  <si>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</si>
  <si>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</si>
  <si>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</si>
  <si>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</si>
  <si>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</si>
  <si>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</si>
  <si>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</si>
  <si>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</si>
  <si>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</si>
  <si>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</si>
  <si>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</si>
  <si>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</si>
  <si>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</si>
  <si>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</si>
  <si>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</si>
  <si>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</si>
  <si>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</si>
  <si>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</si>
  <si>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</si>
  <si>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</si>
  <si>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</si>
  <si>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</si>
  <si>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</si>
  <si>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</si>
  <si>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</si>
  <si>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</si>
  <si>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</si>
  <si>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</si>
  <si>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</si>
  <si>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</si>
  <si>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</si>
  <si>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</si>
  <si>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</si>
  <si>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</si>
  <si>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</si>
  <si>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</si>
  <si>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</si>
  <si>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</si>
  <si>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</si>
  <si>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</si>
  <si>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</si>
  <si>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</si>
  <si>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</si>
  <si>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</si>
  <si>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</si>
  <si>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</si>
  <si>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</si>
  <si>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</si>
  <si>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</si>
  <si>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</si>
  <si>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</si>
  <si>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</si>
  <si>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</si>
  <si>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</si>
  <si>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</si>
  <si>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</si>
  <si>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</si>
  <si>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</si>
  <si>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</si>
  <si>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</si>
  <si>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</si>
  <si>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</si>
  <si>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</si>
  <si>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</si>
  <si>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</si>
  <si>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</si>
  <si>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</si>
  <si>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</si>
  <si>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</si>
  <si>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</si>
  <si>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</si>
  <si>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</si>
  <si>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</si>
  <si>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</si>
  <si>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</si>
  <si>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</si>
  <si>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</si>
  <si>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</si>
  <si>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</si>
  <si>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</si>
  <si>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</si>
  <si>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</si>
  <si>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</si>
  <si>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</si>
  <si>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</si>
  <si>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</si>
  <si>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</si>
  <si>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</si>
  <si>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</si>
  <si>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</si>
  <si>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</si>
  <si>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</si>
  <si>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</si>
  <si>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</si>
  <si>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</si>
  <si>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</si>
  <si>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</si>
  <si>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</si>
  <si>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</si>
  <si>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</si>
  <si>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</si>
  <si>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</si>
  <si>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</si>
  <si>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</si>
  <si>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</si>
  <si>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</si>
  <si>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</si>
  <si>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</si>
  <si>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</si>
  <si>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</si>
  <si>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</si>
  <si>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</si>
  <si>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</si>
  <si>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</si>
  <si>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</si>
  <si>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</si>
  <si>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</si>
  <si>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</si>
  <si>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</si>
  <si>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</si>
  <si>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</si>
  <si>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</si>
  <si>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</si>
  <si>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</si>
  <si>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</si>
  <si>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</si>
  <si>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</si>
  <si>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</si>
  <si>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</si>
  <si>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</si>
  <si>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</si>
  <si>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</si>
  <si>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</si>
  <si>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</si>
  <si>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</si>
  <si>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</si>
  <si>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</si>
  <si>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</si>
  <si>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</si>
  <si>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</si>
  <si>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</si>
  <si>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</si>
  <si>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</si>
  <si>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</si>
  <si>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</si>
  <si>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</si>
  <si>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</si>
  <si>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</si>
  <si>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</si>
  <si>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</si>
  <si>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</si>
  <si>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</si>
  <si>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</si>
  <si>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</si>
  <si>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</si>
  <si>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</si>
  <si>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</si>
  <si>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</si>
  <si>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</si>
  <si>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</si>
  <si>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</si>
  <si>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</si>
  <si>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</si>
  <si>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</si>
  <si>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</si>
  <si>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</si>
  <si>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</si>
  <si>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</si>
  <si>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</si>
  <si>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</si>
  <si>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</si>
  <si>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</si>
  <si>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</si>
  <si>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</si>
  <si>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</si>
  <si>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</si>
  <si>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</si>
  <si>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</si>
  <si>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</si>
  <si>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</si>
  <si>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</si>
  <si>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</si>
  <si>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</si>
  <si>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</si>
  <si>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</si>
  <si>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</si>
  <si>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</si>
  <si>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</si>
  <si>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</si>
  <si>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</si>
  <si>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</si>
  <si>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</si>
  <si>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</si>
  <si>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</si>
  <si>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</si>
  <si>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</si>
  <si>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</si>
  <si>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</si>
  <si>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</si>
  <si>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</si>
  <si>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</si>
  <si>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</si>
  <si>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</si>
  <si>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</si>
  <si>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</si>
  <si>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</si>
  <si>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</si>
  <si>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</si>
  <si>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</si>
  <si>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</si>
  <si>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</si>
  <si>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</si>
  <si>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</si>
  <si>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</si>
  <si>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</si>
  <si>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</si>
  <si>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</si>
  <si>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</si>
  <si>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</si>
  <si>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</si>
  <si>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</si>
  <si>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</si>
  <si>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</si>
  <si>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</si>
  <si>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</si>
  <si>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</si>
  <si>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</si>
  <si>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</si>
  <si>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</si>
  <si>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</si>
  <si>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</si>
  <si>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</si>
  <si>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</si>
  <si>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</si>
  <si>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</si>
  <si>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</si>
  <si>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</si>
  <si>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</si>
  <si>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</si>
  <si>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</si>
  <si>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</si>
  <si>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</si>
  <si>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</si>
  <si>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</si>
  <si>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</si>
  <si>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</si>
  <si>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</si>
  <si>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</si>
  <si>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</si>
  <si>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</si>
  <si>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</si>
  <si>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</si>
  <si>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</si>
  <si>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</si>
  <si>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</si>
  <si>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</si>
  <si>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</si>
  <si>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</si>
  <si>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</si>
  <si>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</si>
  <si>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</si>
  <si>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</si>
  <si>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</si>
  <si>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</si>
  <si>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</si>
  <si>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</si>
  <si>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</si>
  <si>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</si>
  <si>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</si>
  <si>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</si>
  <si>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</si>
  <si>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</si>
  <si>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</si>
  <si>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</si>
  <si>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</si>
  <si>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</si>
  <si>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</si>
  <si>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</si>
  <si>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</si>
  <si>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</si>
  <si>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</si>
  <si>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
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</si>
  <si>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</si>
  <si>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</si>
  <si>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</si>
  <si>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</si>
  <si>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</si>
  <si>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</si>
  <si>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</si>
  <si>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</si>
  <si>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 xml:space="preserve"> 18-Oct-2025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</si>
  <si>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</si>
  <si>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</si>
  <si>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</si>
  <si>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</si>
  <si>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</si>
  <si>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</si>
  <si>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</si>
  <si>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</si>
  <si>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</si>
  <si>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</si>
  <si>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D</t>
  </si>
  <si>
    <t xml:space="preserve"> 18-Oct-2025 03 41 23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</si>
</sst>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3" fillId="3" borderId="1" xfId="5" applyFont="1" applyFill="1" applyBorder="1" applyAlignment="1">
      <alignment horizontal="center" vertical="center" wrapText="1" shrinkToFit="1"/>
    </xf>
    <xf numFmtId="0" fontId="23" fillId="3" borderId="13" xfId="5" applyFont="1" applyFill="1" applyBorder="1" applyAlignment="1">
      <alignment horizontal="center" vertical="center" wrapText="1" shrinkToFit="1"/>
    </xf>
    <xf numFmtId="0" fontId="23" fillId="3" borderId="19" xfId="5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164" fontId="27" fillId="6" borderId="48" xfId="5" applyNumberFormat="1" applyFont="1" applyFill="1" applyBorder="1" applyAlignment="1">
      <alignment horizontal="center" vertical="center"/>
    </xf>
    <xf numFmtId="164" fontId="27" fillId="6" borderId="49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0" fontId="38" fillId="0" borderId="32" xfId="15" applyFont="1" applyBorder="1" applyAlignment="1">
      <alignment horizontal="center" vertical="center" wrapText="1"/>
    </xf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0" fillId="4" borderId="11" xfId="5" applyFont="1" applyFill="1" applyBorder="1" applyAlignment="1">
      <alignment horizontal="center" vertical="center" wrapText="1"/>
    </xf>
    <xf numFmtId="0" fontId="20" fillId="4" borderId="35" xfId="5" applyFont="1" applyFill="1" applyBorder="1" applyAlignment="1">
      <alignment horizontal="center" vertical="center"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44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46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455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460</v>
      </c>
      <c r="D1" s="26"/>
      <c r="E1" s="28" t="s">
        <v>463</v>
      </c>
      <c r="F1" s="28" t="s">
        <v>401</v>
      </c>
      <c r="G1" s="25" t="s">
        <v>154</v>
      </c>
      <c r="H1" s="25">
        <v>1</v>
      </c>
      <c r="I1" s="29" t="s">
        <v>464</v>
      </c>
      <c r="J1" s="25" t="s">
        <v>158</v>
      </c>
      <c r="K1" s="25" t="s">
        <v>476</v>
      </c>
      <c r="L1" s="25" t="s">
        <v>475</v>
      </c>
    </row>
    <row r="2" spans="1:12">
      <c r="A2" s="19">
        <v>0.39100000000000001</v>
      </c>
      <c r="C2" s="20" t="str">
        <f>IF(AND(A2&lt;&gt;"",B2&lt;&gt;""),IF(OR(A2&lt;0.002,B2-A2&lt;0),"NG Zero Set",ROUNDUP(B2-A2,3)),"")</f>
        <v/>
      </c>
      <c r="D2" s="26">
        <v>0</v>
      </c>
      <c r="H2" s="19"/>
    </row>
    <row r="3" spans="1:12">
      <c r="A3" s="19">
        <v>0.39800000000000002</v>
      </c>
      <c r="C3" s="20" t="str">
        <f t="shared" ref="C3:C66" si="0">IF(AND(A3&lt;&gt;"",B3&lt;&gt;""),IF(OR(A3&lt;0.002,B3-A3&lt;0),"NG Zero Set",ROUNDUP(B3-A3,3)),"")</f>
        <v/>
      </c>
      <c r="D3" s="26">
        <v>0</v>
      </c>
      <c r="F3" s="19"/>
      <c r="G3" s="19"/>
      <c r="H3" s="19"/>
    </row>
    <row r="4" spans="1:12">
      <c r="A4" s="19">
        <v>0.36199999999999999</v>
      </c>
      <c r="C4" s="20" t="str">
        <f t="shared" si="0"/>
        <v/>
      </c>
      <c r="D4" s="26">
        <v>0</v>
      </c>
      <c r="G4" s="23"/>
      <c r="H4" s="19"/>
    </row>
    <row r="5" spans="1:12">
      <c r="A5" s="19">
        <v>0.35199999999999998</v>
      </c>
      <c r="C5" s="20" t="str">
        <f t="shared" si="0"/>
        <v/>
      </c>
      <c r="D5" s="26">
        <v>0</v>
      </c>
      <c r="F5" s="23"/>
      <c r="G5" s="23"/>
      <c r="H5" s="19"/>
    </row>
    <row r="6" spans="1:12">
      <c r="A6" s="19">
        <v>0.39100000000000001</v>
      </c>
      <c r="C6" s="20" t="str">
        <f t="shared" si="0"/>
        <v/>
      </c>
      <c r="D6" s="26">
        <v>0</v>
      </c>
      <c r="E6"/>
      <c r="F6" s="23"/>
      <c r="G6" s="23"/>
      <c r="H6" s="19"/>
    </row>
    <row r="7" spans="1:12" ht="13.5" customHeight="1">
      <c r="A7" s="19">
        <v>0.38800000000000001</v>
      </c>
      <c r="C7" s="20" t="str">
        <f t="shared" si="0"/>
        <v/>
      </c>
      <c r="D7" s="26">
        <v>0</v>
      </c>
      <c r="E7"/>
      <c r="F7" s="23"/>
      <c r="G7" s="23"/>
      <c r="H7" s="19"/>
    </row>
    <row r="8" spans="1:12">
      <c r="A8" s="19">
        <v>0.35299999999999998</v>
      </c>
      <c r="C8" s="20" t="str">
        <f t="shared" si="0"/>
        <v/>
      </c>
      <c r="D8" s="26">
        <v>0</v>
      </c>
      <c r="E8"/>
      <c r="F8" s="23"/>
      <c r="G8" s="23"/>
      <c r="H8" s="19"/>
      <c r="K8" s="24"/>
    </row>
    <row r="9" spans="1:12">
      <c r="A9" s="19">
        <v>0.35199999999999998</v>
      </c>
      <c r="C9" s="20" t="str">
        <f t="shared" si="0"/>
        <v/>
      </c>
      <c r="D9" s="26">
        <v>0</v>
      </c>
      <c r="E9"/>
      <c r="F9" s="23"/>
      <c r="G9" s="23"/>
      <c r="H9" s="19"/>
    </row>
    <row r="10" spans="1:12">
      <c r="A10" s="19">
        <v>0.39200000000000002</v>
      </c>
      <c r="C10" s="20" t="str">
        <f t="shared" si="0"/>
        <v/>
      </c>
      <c r="D10" s="26">
        <v>0</v>
      </c>
      <c r="E10"/>
      <c r="F10" s="23"/>
      <c r="G10" s="23"/>
      <c r="H10" s="19"/>
    </row>
    <row r="11" spans="1:12">
      <c r="A11" s="19">
        <v>0.39200000000000002</v>
      </c>
      <c r="C11" s="20" t="str">
        <f t="shared" si="0"/>
        <v/>
      </c>
      <c r="D11" s="26">
        <v>0</v>
      </c>
      <c r="E11"/>
      <c r="F11" s="23"/>
      <c r="G11" s="23"/>
      <c r="H11" s="19"/>
    </row>
    <row r="12" spans="1:12">
      <c r="A12" s="19">
        <v>0.35299999999999998</v>
      </c>
      <c r="C12" s="20" t="str">
        <f t="shared" si="0"/>
        <v/>
      </c>
      <c r="D12" s="26">
        <v>0</v>
      </c>
      <c r="E12"/>
      <c r="F12" s="23"/>
      <c r="G12" s="23"/>
      <c r="H12" s="19"/>
    </row>
    <row r="13" spans="1:12">
      <c r="A13" s="19">
        <v>0.35399999999999998</v>
      </c>
      <c r="C13" s="20" t="str">
        <f t="shared" si="0"/>
        <v/>
      </c>
      <c r="D13" s="26">
        <v>0</v>
      </c>
      <c r="E13"/>
      <c r="F13" s="23"/>
      <c r="G13" s="23"/>
      <c r="H13" s="19"/>
    </row>
    <row r="14" spans="1:12">
      <c r="A14" s="19">
        <v>0.39400000000000002</v>
      </c>
      <c r="C14" s="20" t="str">
        <f t="shared" si="0"/>
        <v/>
      </c>
      <c r="D14" s="26">
        <v>0</v>
      </c>
      <c r="G14" s="23"/>
      <c r="H14" s="23"/>
      <c r="I14" s="19"/>
    </row>
    <row r="15" spans="1:12">
      <c r="A15" s="19">
        <v>0.40500000000000003</v>
      </c>
      <c r="C15" s="20" t="str">
        <f t="shared" si="0"/>
        <v/>
      </c>
      <c r="D15" s="26">
        <v>0</v>
      </c>
      <c r="G15" s="23"/>
      <c r="H15" s="23"/>
      <c r="I15" s="19"/>
    </row>
    <row r="16" spans="1:12">
      <c r="A16" s="19">
        <v>0.35199999999999998</v>
      </c>
      <c r="C16" s="20" t="str">
        <f t="shared" si="0"/>
        <v/>
      </c>
      <c r="D16" s="26">
        <v>0</v>
      </c>
      <c r="G16" s="23"/>
      <c r="H16" s="23"/>
      <c r="I16" s="19"/>
    </row>
    <row r="17" spans="1:9">
      <c r="A17" s="19">
        <v>0.35199999999999998</v>
      </c>
      <c r="C17" s="20" t="str">
        <f t="shared" si="0"/>
        <v/>
      </c>
      <c r="D17" s="26">
        <v>0</v>
      </c>
      <c r="G17" s="23"/>
      <c r="H17" s="23"/>
      <c r="I17" s="19"/>
    </row>
    <row r="18" spans="1:9">
      <c r="A18" s="19">
        <v>0.39300000000000002</v>
      </c>
      <c r="C18" s="20" t="str">
        <f t="shared" si="0"/>
        <v/>
      </c>
      <c r="D18" s="26">
        <v>0</v>
      </c>
      <c r="G18" s="23"/>
      <c r="H18" s="23"/>
      <c r="I18" s="19"/>
    </row>
    <row r="19" spans="1:9">
      <c r="A19" s="19">
        <v>0.39200000000000002</v>
      </c>
      <c r="C19" s="20" t="str">
        <f t="shared" si="0"/>
        <v/>
      </c>
      <c r="D19" s="26">
        <v>0</v>
      </c>
      <c r="G19" s="23"/>
      <c r="H19" s="23"/>
      <c r="I19" s="19"/>
    </row>
    <row r="20" spans="1:9">
      <c r="A20" s="19">
        <v>0.35299999999999998</v>
      </c>
      <c r="C20" s="20" t="str">
        <f t="shared" si="0"/>
        <v/>
      </c>
      <c r="D20" s="26">
        <v>0</v>
      </c>
      <c r="G20" s="23"/>
      <c r="H20" s="23"/>
      <c r="I20" s="19"/>
    </row>
    <row r="21" spans="1:9">
      <c r="A21" s="19">
        <v>0.35199999999999998</v>
      </c>
      <c r="C21" s="20" t="str">
        <f t="shared" si="0"/>
        <v/>
      </c>
      <c r="D21" s="26">
        <v>0</v>
      </c>
      <c r="G21" s="23"/>
      <c r="H21" s="23"/>
      <c r="I21" s="19"/>
    </row>
    <row r="22" spans="1:9">
      <c r="A22" s="19">
        <v>0.39700000000000002</v>
      </c>
      <c r="C22" s="20" t="str">
        <f t="shared" si="0"/>
        <v/>
      </c>
      <c r="D22" s="26">
        <v>0</v>
      </c>
      <c r="G22" s="23"/>
      <c r="H22" s="23"/>
      <c r="I22" s="19"/>
    </row>
    <row r="23" spans="1:9">
      <c r="A23" s="19">
        <v>0.39400000000000002</v>
      </c>
      <c r="C23" s="20" t="str">
        <f t="shared" si="0"/>
        <v/>
      </c>
      <c r="D23" s="26">
        <v>0</v>
      </c>
      <c r="G23" s="23"/>
      <c r="H23" s="23"/>
      <c r="I23" s="19"/>
    </row>
    <row r="24" spans="1:9">
      <c r="A24" s="19">
        <v>0.35199999999999998</v>
      </c>
      <c r="C24" s="20" t="str">
        <f t="shared" si="0"/>
        <v/>
      </c>
      <c r="D24" s="26">
        <v>0</v>
      </c>
      <c r="G24" s="23"/>
      <c r="H24" s="23"/>
      <c r="I24" s="19"/>
    </row>
    <row r="25" spans="1:9">
      <c r="A25" s="19">
        <v>0.35399999999999998</v>
      </c>
      <c r="C25" s="20" t="str">
        <f t="shared" si="0"/>
        <v/>
      </c>
      <c r="D25" s="26">
        <v>0</v>
      </c>
      <c r="G25" s="23"/>
      <c r="H25" s="23"/>
      <c r="I25" s="19"/>
    </row>
    <row r="26" spans="1:9">
      <c r="A26" s="19">
        <v>0.40100000000000002</v>
      </c>
      <c r="C26" s="20" t="str">
        <f t="shared" si="0"/>
        <v/>
      </c>
      <c r="D26" s="26">
        <v>0</v>
      </c>
      <c r="G26" s="23"/>
      <c r="H26" s="23"/>
      <c r="I26" s="19"/>
    </row>
    <row r="27" spans="1:9">
      <c r="A27" s="19">
        <v>0.39700000000000002</v>
      </c>
      <c r="C27" s="20" t="str">
        <f t="shared" si="0"/>
        <v/>
      </c>
      <c r="D27" s="26">
        <v>0</v>
      </c>
      <c r="G27" s="23"/>
      <c r="H27" s="23"/>
      <c r="I27" s="19"/>
    </row>
    <row r="28" spans="1:9">
      <c r="A28" s="19">
        <v>0.35699999999999998</v>
      </c>
      <c r="C28" s="20" t="str">
        <f t="shared" si="0"/>
        <v/>
      </c>
      <c r="D28" s="26">
        <v>0</v>
      </c>
      <c r="G28" s="23"/>
      <c r="H28" s="23"/>
      <c r="I28" s="19"/>
    </row>
    <row r="29" spans="1:9">
      <c r="A29" s="19">
        <v>0.35899999999999999</v>
      </c>
      <c r="C29" s="20" t="str">
        <f t="shared" si="0"/>
        <v/>
      </c>
      <c r="D29" s="26">
        <v>0</v>
      </c>
      <c r="G29" s="23"/>
      <c r="H29" s="23"/>
      <c r="I29" s="19"/>
    </row>
    <row r="30" spans="1:9">
      <c r="A30" s="19">
        <v>0.40400000000000003</v>
      </c>
      <c r="C30" s="20" t="str">
        <f t="shared" si="0"/>
        <v/>
      </c>
      <c r="D30" s="26">
        <v>0</v>
      </c>
    </row>
    <row r="31" spans="1:9">
      <c r="A31" s="19">
        <v>0.4</v>
      </c>
      <c r="C31" s="20" t="str">
        <f t="shared" si="0"/>
        <v/>
      </c>
      <c r="D31" s="26">
        <v>0</v>
      </c>
    </row>
    <row r="32" spans="1:9">
      <c r="A32" s="19">
        <v>0.35899999999999999</v>
      </c>
      <c r="C32" s="20" t="str">
        <f t="shared" si="0"/>
        <v/>
      </c>
      <c r="D32" s="26">
        <v>0</v>
      </c>
    </row>
    <row r="33" spans="1:4">
      <c r="A33" s="19">
        <v>0.36199999999999999</v>
      </c>
      <c r="C33" s="20" t="str">
        <f t="shared" si="0"/>
        <v/>
      </c>
      <c r="D33" s="26">
        <v>0</v>
      </c>
    </row>
    <row r="34" spans="1:4">
      <c r="A34" s="19">
        <v>0.40899999999999997</v>
      </c>
      <c r="C34" s="20" t="str">
        <f t="shared" si="0"/>
        <v/>
      </c>
      <c r="D34" s="26">
        <v>0</v>
      </c>
    </row>
    <row r="35" spans="1:4">
      <c r="A35" s="19">
        <v>0.40699999999999997</v>
      </c>
      <c r="C35" s="20" t="str">
        <f t="shared" si="0"/>
        <v/>
      </c>
      <c r="D35" s="26">
        <v>0</v>
      </c>
    </row>
    <row r="36" spans="1:4">
      <c r="A36" s="19">
        <v>0.36399999999999999</v>
      </c>
      <c r="C36" s="20" t="str">
        <f t="shared" si="0"/>
        <v/>
      </c>
      <c r="D36" s="26">
        <v>0</v>
      </c>
    </row>
    <row r="37" spans="1:4">
      <c r="A37" s="19">
        <v>0.36699999999999999</v>
      </c>
      <c r="C37" s="20" t="str">
        <f t="shared" si="0"/>
        <v/>
      </c>
      <c r="D37" s="26">
        <v>0</v>
      </c>
    </row>
    <row r="38" spans="1:4">
      <c r="A38" s="19">
        <v>0.41499999999999998</v>
      </c>
      <c r="C38" s="20" t="str">
        <f t="shared" si="0"/>
        <v/>
      </c>
      <c r="D38" s="26">
        <v>0</v>
      </c>
    </row>
    <row r="39" spans="1:4">
      <c r="A39" s="19">
        <v>0.41099999999999998</v>
      </c>
      <c r="C39" s="20" t="str">
        <f t="shared" si="0"/>
        <v/>
      </c>
      <c r="D39" s="26">
        <v>0</v>
      </c>
    </row>
    <row r="40" spans="1:4">
      <c r="A40" s="19">
        <v>0.36899999999999999</v>
      </c>
      <c r="C40" s="20" t="str">
        <f t="shared" si="0"/>
        <v/>
      </c>
      <c r="D40" s="26">
        <v>0</v>
      </c>
    </row>
    <row r="41" spans="1:4">
      <c r="A41" s="19">
        <v>0.371</v>
      </c>
      <c r="C41" s="20" t="str">
        <f t="shared" si="0"/>
        <v/>
      </c>
      <c r="D41" s="26">
        <v>0</v>
      </c>
    </row>
    <row r="42" spans="1:4">
      <c r="A42" s="19">
        <v>0.52200000000000002</v>
      </c>
      <c r="C42" s="20" t="str">
        <f t="shared" si="0"/>
        <v/>
      </c>
      <c r="D42" s="26">
        <v>0</v>
      </c>
    </row>
    <row r="43" spans="1:4">
      <c r="A43" s="19">
        <v>0.499</v>
      </c>
      <c r="C43" s="20" t="str">
        <f t="shared" si="0"/>
        <v/>
      </c>
      <c r="D43" s="26">
        <v>0</v>
      </c>
    </row>
    <row r="44" spans="1:4">
      <c r="A44" s="19">
        <v>0.46400000000000002</v>
      </c>
      <c r="C44" s="20" t="str">
        <f t="shared" si="0"/>
        <v/>
      </c>
      <c r="D44" s="26">
        <v>0</v>
      </c>
    </row>
    <row r="45" spans="1:4">
      <c r="A45" s="19">
        <v>0.46400000000000002</v>
      </c>
      <c r="C45" s="20" t="str">
        <f t="shared" si="0"/>
        <v/>
      </c>
      <c r="D45" s="26">
        <v>0</v>
      </c>
    </row>
    <row r="46" spans="1:4">
      <c r="A46" s="19">
        <v>0.52500000000000002</v>
      </c>
      <c r="C46" s="20" t="str">
        <f t="shared" si="0"/>
        <v/>
      </c>
      <c r="D46" s="26">
        <v>0</v>
      </c>
    </row>
    <row r="47" spans="1:4">
      <c r="A47" s="19">
        <v>0.51600000000000001</v>
      </c>
      <c r="C47" s="20" t="str">
        <f t="shared" si="0"/>
        <v/>
      </c>
      <c r="D47" s="26">
        <v>0</v>
      </c>
    </row>
    <row r="48" spans="1:4">
      <c r="A48" s="19">
        <v>0.47699999999999998</v>
      </c>
      <c r="C48" s="20" t="str">
        <f t="shared" si="0"/>
        <v/>
      </c>
      <c r="D48" s="26">
        <v>0</v>
      </c>
    </row>
    <row r="49" spans="1:4">
      <c r="A49" s="19">
        <v>0.47799999999999998</v>
      </c>
      <c r="C49" s="20" t="str">
        <f t="shared" si="0"/>
        <v/>
      </c>
      <c r="D49" s="26">
        <v>0</v>
      </c>
    </row>
    <row r="50" spans="1:4">
      <c r="A50" s="19">
        <v>0.54100000000000004</v>
      </c>
      <c r="C50" s="20" t="str">
        <f t="shared" si="0"/>
        <v/>
      </c>
      <c r="D50" s="26">
        <v>0</v>
      </c>
    </row>
    <row r="51" spans="1:4">
      <c r="A51" s="19">
        <v>0.53200000000000003</v>
      </c>
      <c r="C51" s="20" t="str">
        <f t="shared" si="0"/>
        <v/>
      </c>
      <c r="D51" s="26">
        <v>0</v>
      </c>
    </row>
    <row r="52" spans="1:4">
      <c r="A52" s="19">
        <v>0.49099999999999999</v>
      </c>
      <c r="C52" s="20" t="str">
        <f t="shared" si="0"/>
        <v/>
      </c>
      <c r="D52" s="26">
        <v>0</v>
      </c>
    </row>
    <row r="53" spans="1:4">
      <c r="A53" s="19">
        <v>0.496</v>
      </c>
      <c r="C53" s="20" t="str">
        <f t="shared" si="0"/>
        <v/>
      </c>
      <c r="D53" s="26">
        <v>0</v>
      </c>
    </row>
    <row r="54" spans="1:4">
      <c r="A54" s="19">
        <v>0.55100000000000005</v>
      </c>
      <c r="C54" s="20" t="str">
        <f t="shared" si="0"/>
        <v/>
      </c>
      <c r="D54" s="26">
        <v>0</v>
      </c>
    </row>
    <row r="55" spans="1:4">
      <c r="A55" s="19">
        <v>0.54800000000000004</v>
      </c>
      <c r="C55" s="20" t="str">
        <f t="shared" si="0"/>
        <v/>
      </c>
      <c r="D55" s="26">
        <v>0</v>
      </c>
    </row>
    <row r="56" spans="1:4">
      <c r="A56" s="19">
        <v>0.50600000000000001</v>
      </c>
      <c r="C56" s="20" t="str">
        <f t="shared" si="0"/>
        <v/>
      </c>
      <c r="D56" s="26">
        <v>0</v>
      </c>
    </row>
    <row r="57" spans="1:4">
      <c r="A57" s="19">
        <v>0.505</v>
      </c>
      <c r="C57" s="20" t="str">
        <f t="shared" si="0"/>
        <v/>
      </c>
      <c r="D57" s="26">
        <v>0</v>
      </c>
    </row>
    <row r="58" spans="1:4">
      <c r="A58" s="19">
        <v>0.56899999999999995</v>
      </c>
      <c r="C58" s="20" t="str">
        <f t="shared" si="0"/>
        <v/>
      </c>
      <c r="D58" s="26">
        <v>0</v>
      </c>
    </row>
    <row r="59" spans="1:4">
      <c r="A59" s="19">
        <v>0.56599999999999995</v>
      </c>
      <c r="C59" s="20" t="str">
        <f t="shared" si="0"/>
        <v/>
      </c>
      <c r="D59" s="26">
        <v>0</v>
      </c>
    </row>
    <row r="60" spans="1:4">
      <c r="A60" s="19">
        <v>0.52200000000000002</v>
      </c>
      <c r="C60" s="20" t="str">
        <f t="shared" si="0"/>
        <v/>
      </c>
      <c r="D60" s="26">
        <v>0</v>
      </c>
    </row>
    <row r="61" spans="1:4">
      <c r="A61" s="19">
        <v>0.52200000000000002</v>
      </c>
      <c r="C61" s="20" t="str">
        <f t="shared" si="0"/>
        <v/>
      </c>
      <c r="D61" s="26">
        <v>0</v>
      </c>
    </row>
    <row r="62" spans="1:4">
      <c r="A62" s="19">
        <v>0.58899999999999997</v>
      </c>
      <c r="C62" s="20" t="str">
        <f t="shared" si="0"/>
        <v/>
      </c>
      <c r="D62" s="26">
        <v>0</v>
      </c>
    </row>
    <row r="63" spans="1:4">
      <c r="A63" s="19">
        <v>0.58099999999999996</v>
      </c>
      <c r="C63" s="20" t="str">
        <f t="shared" si="0"/>
        <v/>
      </c>
      <c r="D63" s="26">
        <v>0</v>
      </c>
    </row>
    <row r="64" spans="1:4">
      <c r="A64" s="19">
        <v>0.53900000000000003</v>
      </c>
      <c r="C64" s="20" t="str">
        <f t="shared" si="0"/>
        <v/>
      </c>
      <c r="D64" s="26">
        <v>0</v>
      </c>
    </row>
    <row r="65" spans="1:4">
      <c r="A65" s="19">
        <v>0.54400000000000004</v>
      </c>
      <c r="C65" s="20" t="str">
        <f t="shared" si="0"/>
        <v/>
      </c>
      <c r="D65" s="26">
        <v>0</v>
      </c>
    </row>
    <row r="66" spans="1:4">
      <c r="A66" s="19">
        <v>0.60799999999999998</v>
      </c>
      <c r="C66" s="20" t="str">
        <f t="shared" si="0"/>
        <v/>
      </c>
      <c r="D66" s="26">
        <v>0</v>
      </c>
    </row>
    <row r="67" spans="1:4">
      <c r="A67" s="19">
        <v>0.59899999999999998</v>
      </c>
      <c r="C67" s="20" t="str">
        <f t="shared" ref="C67:C130" si="1">IF(AND(A67&lt;&gt;"",B67&lt;&gt;""),IF(OR(A67&lt;0.002,B67-A67&lt;0),"NG Zero Set",ROUNDUP(B67-A67,3)),"")</f>
        <v/>
      </c>
      <c r="D67" s="26">
        <v>0</v>
      </c>
    </row>
    <row r="68" spans="1:4">
      <c r="A68" s="19">
        <v>0.55900000000000005</v>
      </c>
      <c r="C68" s="20" t="str">
        <f t="shared" si="1"/>
        <v/>
      </c>
      <c r="D68" s="26">
        <v>0</v>
      </c>
    </row>
    <row r="69" spans="1:4">
      <c r="A69" s="19">
        <v>0.56699999999999995</v>
      </c>
      <c r="C69" s="20" t="str">
        <f t="shared" si="1"/>
        <v/>
      </c>
      <c r="D69" s="26">
        <v>0</v>
      </c>
    </row>
    <row r="70" spans="1:4">
      <c r="A70" s="19">
        <v>0.628</v>
      </c>
      <c r="C70" s="20" t="str">
        <f t="shared" si="1"/>
        <v/>
      </c>
      <c r="D70" s="26">
        <v>0</v>
      </c>
    </row>
    <row r="71" spans="1:4">
      <c r="A71" s="19">
        <v>0.62</v>
      </c>
      <c r="C71" s="20" t="str">
        <f t="shared" si="1"/>
        <v/>
      </c>
      <c r="D71" s="26">
        <v>0</v>
      </c>
    </row>
    <row r="72" spans="1:4">
      <c r="A72" s="19">
        <v>0.58299999999999996</v>
      </c>
      <c r="C72" s="20" t="str">
        <f t="shared" si="1"/>
        <v/>
      </c>
      <c r="D72" s="26">
        <v>0</v>
      </c>
    </row>
    <row r="73" spans="1:4">
      <c r="A73" s="19">
        <v>0.59199999999999997</v>
      </c>
      <c r="C73" s="20" t="str">
        <f t="shared" si="1"/>
        <v/>
      </c>
      <c r="D73" s="26">
        <v>0</v>
      </c>
    </row>
    <row r="74" spans="1:4">
      <c r="A74" s="19">
        <v>0.64400000000000002</v>
      </c>
      <c r="C74" s="20" t="str">
        <f t="shared" si="1"/>
        <v/>
      </c>
      <c r="D74" s="26">
        <v>0</v>
      </c>
    </row>
    <row r="75" spans="1:4">
      <c r="A75" s="19">
        <v>0.63800000000000001</v>
      </c>
      <c r="C75" s="20" t="str">
        <f t="shared" si="1"/>
        <v/>
      </c>
      <c r="D75" s="26">
        <v>0</v>
      </c>
    </row>
    <row r="76" spans="1:4">
      <c r="A76" s="19">
        <v>0.60099999999999998</v>
      </c>
      <c r="C76" s="20" t="str">
        <f t="shared" si="1"/>
        <v/>
      </c>
      <c r="D76" s="26">
        <v>0</v>
      </c>
    </row>
    <row r="77" spans="1:4">
      <c r="A77" s="19">
        <v>0.60899999999999999</v>
      </c>
      <c r="C77" s="20" t="str">
        <f t="shared" si="1"/>
        <v/>
      </c>
      <c r="D77" s="26">
        <v>0</v>
      </c>
    </row>
    <row r="78" spans="1:4">
      <c r="A78" s="19">
        <v>0.66100000000000003</v>
      </c>
      <c r="C78" s="20" t="str">
        <f t="shared" si="1"/>
        <v/>
      </c>
      <c r="D78" s="26">
        <v>0</v>
      </c>
    </row>
    <row r="79" spans="1:4">
      <c r="A79" s="19">
        <v>0.65600000000000003</v>
      </c>
      <c r="C79" s="20" t="str">
        <f t="shared" si="1"/>
        <v/>
      </c>
      <c r="D79" s="26">
        <v>0</v>
      </c>
    </row>
    <row r="80" spans="1:4">
      <c r="A80" s="19">
        <v>0.621</v>
      </c>
      <c r="C80" s="20" t="str">
        <f t="shared" si="1"/>
        <v/>
      </c>
      <c r="D80" s="26">
        <v>0</v>
      </c>
    </row>
    <row r="81" spans="1:4">
      <c r="A81" s="19">
        <v>0.61899999999999999</v>
      </c>
      <c r="C81" s="20" t="str">
        <f t="shared" si="1"/>
        <v/>
      </c>
      <c r="D81" s="26">
        <v>0</v>
      </c>
    </row>
    <row r="82" spans="1:4">
      <c r="A82" s="19">
        <v>0.33100000000000002</v>
      </c>
      <c r="C82" s="20" t="str">
        <f t="shared" si="1"/>
        <v/>
      </c>
      <c r="D82" s="26">
        <v>0</v>
      </c>
    </row>
    <row r="83" spans="1:4">
      <c r="A83" s="19">
        <v>0.32800000000000001</v>
      </c>
      <c r="C83" s="20" t="str">
        <f t="shared" si="1"/>
        <v/>
      </c>
      <c r="D83" s="26">
        <v>0</v>
      </c>
    </row>
    <row r="84" spans="1:4">
      <c r="A84" s="19">
        <v>0.24</v>
      </c>
      <c r="C84" s="20" t="str">
        <f t="shared" si="1"/>
        <v/>
      </c>
      <c r="D84" s="26">
        <v>0</v>
      </c>
    </row>
    <row r="85" spans="1:4">
      <c r="A85" s="19">
        <v>0.24099999999999999</v>
      </c>
      <c r="C85" s="20" t="str">
        <f t="shared" si="1"/>
        <v/>
      </c>
      <c r="D85" s="26">
        <v>0</v>
      </c>
    </row>
    <row r="86" spans="1:4">
      <c r="A86" s="19">
        <v>0.33100000000000002</v>
      </c>
      <c r="C86" s="20" t="str">
        <f t="shared" si="1"/>
        <v/>
      </c>
      <c r="D86" s="26">
        <v>0</v>
      </c>
    </row>
    <row r="87" spans="1:4">
      <c r="A87" s="19">
        <v>0.32800000000000001</v>
      </c>
      <c r="C87" s="20" t="str">
        <f t="shared" si="1"/>
        <v/>
      </c>
      <c r="D87" s="26">
        <v>0</v>
      </c>
    </row>
    <row r="88" spans="1:4">
      <c r="A88" s="19">
        <v>0.24399999999999999</v>
      </c>
      <c r="C88" s="20" t="str">
        <f t="shared" si="1"/>
        <v/>
      </c>
      <c r="D88" s="26">
        <v>0</v>
      </c>
    </row>
    <row r="89" spans="1:4">
      <c r="A89" s="19">
        <v>0.24099999999999999</v>
      </c>
      <c r="C89" s="20" t="str">
        <f t="shared" si="1"/>
        <v/>
      </c>
      <c r="D89" s="26">
        <v>0</v>
      </c>
    </row>
    <row r="90" spans="1:4">
      <c r="A90" s="19">
        <v>0.33200000000000002</v>
      </c>
      <c r="C90" s="20" t="str">
        <f t="shared" si="1"/>
        <v/>
      </c>
      <c r="D90" s="26">
        <v>0</v>
      </c>
    </row>
    <row r="91" spans="1:4">
      <c r="A91" s="19">
        <v>0.32800000000000001</v>
      </c>
      <c r="C91" s="20" t="str">
        <f t="shared" si="1"/>
        <v/>
      </c>
      <c r="D91" s="26">
        <v>0</v>
      </c>
    </row>
    <row r="92" spans="1:4">
      <c r="A92" s="19">
        <v>0.247</v>
      </c>
      <c r="C92" s="20" t="str">
        <f t="shared" si="1"/>
        <v/>
      </c>
      <c r="D92" s="26">
        <v>0</v>
      </c>
    </row>
    <row r="93" spans="1:4">
      <c r="A93" s="19">
        <v>0.245</v>
      </c>
      <c r="C93" s="20" t="str">
        <f t="shared" si="1"/>
        <v/>
      </c>
      <c r="D93" s="26">
        <v>0</v>
      </c>
    </row>
    <row r="94" spans="1:4">
      <c r="A94" s="19">
        <v>0.32800000000000001</v>
      </c>
      <c r="C94" s="20" t="str">
        <f t="shared" si="1"/>
        <v/>
      </c>
      <c r="D94" s="26">
        <v>0</v>
      </c>
    </row>
    <row r="95" spans="1:4">
      <c r="A95" s="19">
        <v>0.32700000000000001</v>
      </c>
      <c r="C95" s="20" t="str">
        <f t="shared" si="1"/>
        <v/>
      </c>
      <c r="D95" s="26">
        <v>0</v>
      </c>
    </row>
    <row r="96" spans="1:4">
      <c r="A96" s="19">
        <v>0.246</v>
      </c>
      <c r="C96" s="20" t="str">
        <f t="shared" si="1"/>
        <v/>
      </c>
      <c r="D96" s="26">
        <v>0</v>
      </c>
    </row>
    <row r="97" spans="1:4">
      <c r="A97" s="19">
        <v>0.247</v>
      </c>
      <c r="C97" s="20" t="str">
        <f t="shared" si="1"/>
        <v/>
      </c>
      <c r="D97" s="26">
        <v>0</v>
      </c>
    </row>
    <row r="98" spans="1:4">
      <c r="A98" s="19">
        <v>0.33</v>
      </c>
      <c r="C98" s="20" t="str">
        <f t="shared" si="1"/>
        <v/>
      </c>
      <c r="D98" s="26"/>
    </row>
    <row r="99" spans="1:4">
      <c r="A99" s="19">
        <v>0.32800000000000001</v>
      </c>
      <c r="C99" s="20" t="str">
        <f t="shared" si="1"/>
        <v/>
      </c>
      <c r="D99" s="26"/>
    </row>
    <row r="100" spans="1:4">
      <c r="A100" s="19">
        <v>0.25</v>
      </c>
      <c r="C100" s="20" t="str">
        <f t="shared" si="1"/>
        <v/>
      </c>
      <c r="D100" s="26"/>
    </row>
    <row r="101" spans="1:4">
      <c r="A101" s="19">
        <v>0.25</v>
      </c>
      <c r="C101" s="20" t="str">
        <f t="shared" si="1"/>
        <v/>
      </c>
      <c r="D101" s="26"/>
    </row>
    <row r="102" spans="1:4">
      <c r="A102" s="19">
        <v>0.33600000000000002</v>
      </c>
      <c r="C102" s="20" t="str">
        <f t="shared" si="1"/>
        <v/>
      </c>
      <c r="D102" s="26"/>
    </row>
    <row r="103" spans="1:4">
      <c r="A103" s="19">
        <v>0.32900000000000001</v>
      </c>
      <c r="C103" s="20" t="str">
        <f t="shared" si="1"/>
        <v/>
      </c>
      <c r="D103" s="26"/>
    </row>
    <row r="104" spans="1:4">
      <c r="A104" s="19">
        <v>0.252</v>
      </c>
      <c r="C104" s="20" t="str">
        <f t="shared" si="1"/>
        <v/>
      </c>
      <c r="D104" s="26"/>
    </row>
    <row r="105" spans="1:4">
      <c r="A105" s="19">
        <v>0.254</v>
      </c>
      <c r="C105" s="20" t="str">
        <f t="shared" si="1"/>
        <v/>
      </c>
      <c r="D105" s="26"/>
    </row>
    <row r="106" spans="1:4">
      <c r="A106" s="19">
        <v>0.33500000000000002</v>
      </c>
      <c r="C106" s="20" t="str">
        <f t="shared" si="1"/>
        <v/>
      </c>
      <c r="D106" s="26"/>
    </row>
    <row r="107" spans="1:4">
      <c r="A107" s="19">
        <v>0.33300000000000002</v>
      </c>
      <c r="C107" s="20" t="str">
        <f t="shared" si="1"/>
        <v/>
      </c>
      <c r="D107" s="26"/>
    </row>
    <row r="108" spans="1:4">
      <c r="A108" s="19">
        <v>0.254</v>
      </c>
      <c r="C108" s="20" t="str">
        <f t="shared" si="1"/>
        <v/>
      </c>
      <c r="D108" s="26"/>
    </row>
    <row r="109" spans="1:4">
      <c r="A109" s="19">
        <v>0.25600000000000001</v>
      </c>
      <c r="C109" s="20" t="str">
        <f t="shared" si="1"/>
        <v/>
      </c>
      <c r="D109" s="26"/>
    </row>
    <row r="110" spans="1:4">
      <c r="A110" s="19">
        <v>0.33900000000000002</v>
      </c>
      <c r="C110" s="20" t="str">
        <f t="shared" si="1"/>
        <v/>
      </c>
      <c r="D110" s="26"/>
    </row>
    <row r="111" spans="1:4">
      <c r="A111" s="19">
        <v>0.33500000000000002</v>
      </c>
      <c r="C111" s="20" t="str">
        <f t="shared" si="1"/>
        <v/>
      </c>
      <c r="D111" s="26"/>
    </row>
    <row r="112" spans="1:4">
      <c r="A112" s="19">
        <v>0.26100000000000001</v>
      </c>
      <c r="C112" s="20" t="str">
        <f t="shared" si="1"/>
        <v/>
      </c>
      <c r="D112" s="26"/>
    </row>
    <row r="113" spans="1:4">
      <c r="A113" s="19">
        <v>0.26100000000000001</v>
      </c>
      <c r="C113" s="20" t="str">
        <f t="shared" si="1"/>
        <v/>
      </c>
      <c r="D113" s="26"/>
    </row>
    <row r="114" spans="1:4">
      <c r="A114" s="19">
        <v>0.34499999999999997</v>
      </c>
      <c r="C114" s="20" t="str">
        <f t="shared" si="1"/>
        <v/>
      </c>
      <c r="D114" s="26"/>
    </row>
    <row r="115" spans="1:4">
      <c r="A115" s="19">
        <v>0.34200000000000003</v>
      </c>
      <c r="C115" s="20" t="str">
        <f t="shared" si="1"/>
        <v/>
      </c>
      <c r="D115" s="26"/>
    </row>
    <row r="116" spans="1:4">
      <c r="A116" s="19">
        <v>0.26500000000000001</v>
      </c>
      <c r="C116" s="20" t="str">
        <f t="shared" si="1"/>
        <v/>
      </c>
      <c r="D116" s="26"/>
    </row>
    <row r="117" spans="1:4">
      <c r="A117" s="19">
        <v>0.26600000000000001</v>
      </c>
      <c r="C117" s="20" t="str">
        <f t="shared" si="1"/>
        <v/>
      </c>
      <c r="D117" s="26"/>
    </row>
    <row r="118" spans="1:4">
      <c r="A118" s="19">
        <v>0.34799999999999998</v>
      </c>
      <c r="C118" s="20" t="str">
        <f t="shared" si="1"/>
        <v/>
      </c>
      <c r="D118" s="26"/>
    </row>
    <row r="119" spans="1:4">
      <c r="A119" s="19">
        <v>0.34499999999999997</v>
      </c>
      <c r="C119" s="20" t="str">
        <f t="shared" si="1"/>
        <v/>
      </c>
      <c r="D119" s="26"/>
    </row>
    <row r="120" spans="1:4">
      <c r="A120" s="19">
        <v>0.27300000000000002</v>
      </c>
      <c r="C120" s="20" t="str">
        <f t="shared" si="1"/>
        <v/>
      </c>
      <c r="D120" s="26"/>
    </row>
    <row r="121" spans="1:4">
      <c r="A121" s="19">
        <v>0.26900000000000002</v>
      </c>
      <c r="C121" s="20" t="str">
        <f t="shared" si="1"/>
        <v/>
      </c>
      <c r="D121" s="26"/>
    </row>
    <row r="122" spans="1:4">
      <c r="A122" s="19">
        <v>0.45</v>
      </c>
      <c r="C122" s="20" t="str">
        <f t="shared" si="1"/>
        <v/>
      </c>
      <c r="D122" s="26"/>
    </row>
    <row r="123" spans="1:4">
      <c r="A123" s="19">
        <v>0.443</v>
      </c>
      <c r="C123" s="20" t="str">
        <f t="shared" si="1"/>
        <v/>
      </c>
      <c r="D123" s="26"/>
    </row>
    <row r="124" spans="1:4">
      <c r="A124" s="19">
        <v>0.372</v>
      </c>
      <c r="C124" s="20" t="str">
        <f t="shared" si="1"/>
        <v/>
      </c>
      <c r="D124" s="26"/>
    </row>
    <row r="125" spans="1:4">
      <c r="A125" s="19">
        <v>0.376</v>
      </c>
      <c r="C125" s="20" t="str">
        <f t="shared" si="1"/>
        <v/>
      </c>
      <c r="D125" s="26"/>
    </row>
    <row r="126" spans="1:4">
      <c r="A126" s="19">
        <v>0.46700000000000003</v>
      </c>
      <c r="C126" s="20" t="str">
        <f t="shared" si="1"/>
        <v/>
      </c>
      <c r="D126" s="26"/>
    </row>
    <row r="127" spans="1:4">
      <c r="A127" s="19">
        <v>0.45800000000000002</v>
      </c>
      <c r="C127" s="20" t="str">
        <f t="shared" si="1"/>
        <v/>
      </c>
      <c r="D127" s="26"/>
    </row>
    <row r="128" spans="1:4">
      <c r="A128" s="19">
        <v>0.38700000000000001</v>
      </c>
      <c r="C128" s="20" t="str">
        <f t="shared" si="1"/>
        <v/>
      </c>
      <c r="D128" s="26"/>
    </row>
    <row r="129" spans="1:4">
      <c r="A129" s="19">
        <v>0.39100000000000001</v>
      </c>
      <c r="C129" s="20" t="str">
        <f t="shared" si="1"/>
        <v/>
      </c>
      <c r="D129" s="26"/>
    </row>
    <row r="130" spans="1:4">
      <c r="A130" s="19">
        <v>0.47199999999999998</v>
      </c>
      <c r="C130" s="20" t="str">
        <f t="shared" si="1"/>
        <v/>
      </c>
      <c r="D130" s="26"/>
    </row>
    <row r="131" spans="1:4">
      <c r="A131" s="19">
        <v>0.47199999999999998</v>
      </c>
      <c r="C131" s="20" t="str">
        <f t="shared" ref="C131:C161" si="2">IF(AND(A131&lt;&gt;"",B131&lt;&gt;""),IF(OR(A131&lt;0.002,B131-A131&lt;0),"NG Zero Set",ROUNDUP(B131-A131,3)),"")</f>
        <v/>
      </c>
      <c r="D131" s="26"/>
    </row>
    <row r="132" spans="1:4">
      <c r="A132" s="19">
        <v>0.40400000000000003</v>
      </c>
      <c r="C132" s="20" t="str">
        <f t="shared" si="2"/>
        <v/>
      </c>
      <c r="D132" s="26"/>
    </row>
    <row r="133" spans="1:4">
      <c r="A133" s="19">
        <v>0.39600000000000002</v>
      </c>
      <c r="C133" s="20" t="str">
        <f t="shared" si="2"/>
        <v/>
      </c>
      <c r="D133" s="26"/>
    </row>
    <row r="134" spans="1:4">
      <c r="A134" s="19">
        <v>0.49</v>
      </c>
      <c r="C134" s="20" t="str">
        <f t="shared" si="2"/>
        <v/>
      </c>
      <c r="D134" s="26"/>
    </row>
    <row r="135" spans="1:4">
      <c r="A135" s="19">
        <v>0.49</v>
      </c>
      <c r="C135" s="20" t="str">
        <f t="shared" si="2"/>
        <v/>
      </c>
      <c r="D135" s="26"/>
    </row>
    <row r="136" spans="1:4">
      <c r="A136" s="19">
        <v>0.42299999999999999</v>
      </c>
      <c r="C136" s="20" t="str">
        <f t="shared" si="2"/>
        <v/>
      </c>
      <c r="D136" s="26"/>
    </row>
    <row r="137" spans="1:4">
      <c r="A137" s="19">
        <v>0.42299999999999999</v>
      </c>
      <c r="C137" s="20" t="str">
        <f t="shared" si="2"/>
        <v/>
      </c>
      <c r="D137" s="26"/>
    </row>
    <row r="138" spans="1:4">
      <c r="A138" s="19">
        <v>0.51</v>
      </c>
      <c r="C138" s="20" t="str">
        <f t="shared" si="2"/>
        <v/>
      </c>
      <c r="D138" s="26"/>
    </row>
    <row r="139" spans="1:4">
      <c r="A139" s="19">
        <v>0.499</v>
      </c>
      <c r="C139" s="20" t="str">
        <f t="shared" si="2"/>
        <v/>
      </c>
      <c r="D139" s="26"/>
    </row>
    <row r="140" spans="1:4">
      <c r="A140" s="19">
        <v>0.44700000000000001</v>
      </c>
      <c r="C140" s="20" t="str">
        <f t="shared" si="2"/>
        <v/>
      </c>
      <c r="D140" s="26"/>
    </row>
    <row r="141" spans="1:4">
      <c r="A141" s="19">
        <v>0.44800000000000001</v>
      </c>
      <c r="C141" s="20" t="str">
        <f t="shared" si="2"/>
        <v/>
      </c>
      <c r="D141" s="26"/>
    </row>
    <row r="142" spans="1:4">
      <c r="A142" s="19">
        <v>0.53200000000000003</v>
      </c>
      <c r="C142" s="20" t="str">
        <f t="shared" si="2"/>
        <v/>
      </c>
      <c r="D142" s="26"/>
    </row>
    <row r="143" spans="1:4">
      <c r="A143" s="19">
        <v>0.52400000000000002</v>
      </c>
      <c r="C143" s="20" t="str">
        <f t="shared" si="2"/>
        <v/>
      </c>
      <c r="D143" s="26"/>
    </row>
    <row r="144" spans="1:4">
      <c r="A144" s="19">
        <v>0.46600000000000003</v>
      </c>
      <c r="C144" s="20" t="str">
        <f t="shared" si="2"/>
        <v/>
      </c>
      <c r="D144" s="26"/>
    </row>
    <row r="145" spans="1:4">
      <c r="A145" s="19">
        <v>0.47</v>
      </c>
      <c r="C145" s="20" t="str">
        <f t="shared" si="2"/>
        <v/>
      </c>
      <c r="D145" s="26"/>
    </row>
    <row r="146" spans="1:4">
      <c r="A146" s="19">
        <v>0.55400000000000005</v>
      </c>
      <c r="C146" s="20" t="str">
        <f t="shared" si="2"/>
        <v/>
      </c>
      <c r="D146" s="26"/>
    </row>
    <row r="147" spans="1:4">
      <c r="A147" s="19">
        <v>0.54600000000000004</v>
      </c>
      <c r="C147" s="20" t="str">
        <f t="shared" si="2"/>
        <v/>
      </c>
      <c r="D147" s="26"/>
    </row>
    <row r="148" spans="1:4">
      <c r="A148" s="19">
        <v>0.49</v>
      </c>
      <c r="C148" s="20" t="str">
        <f t="shared" si="2"/>
        <v/>
      </c>
      <c r="D148" s="26"/>
    </row>
    <row r="149" spans="1:4">
      <c r="A149" s="19">
        <v>0.496</v>
      </c>
      <c r="C149" s="20" t="str">
        <f t="shared" si="2"/>
        <v/>
      </c>
      <c r="D149" s="26"/>
    </row>
    <row r="150" spans="1:4">
      <c r="A150" s="19">
        <v>0.57199999999999995</v>
      </c>
      <c r="C150" s="20" t="str">
        <f t="shared" si="2"/>
        <v/>
      </c>
      <c r="D150" s="26"/>
    </row>
    <row r="151" spans="1:4">
      <c r="A151" s="19">
        <v>0.56699999999999995</v>
      </c>
      <c r="C151" s="20" t="str">
        <f t="shared" si="2"/>
        <v/>
      </c>
      <c r="D151" s="26"/>
    </row>
    <row r="152" spans="1:4">
      <c r="A152" s="19">
        <v>0.51700000000000002</v>
      </c>
      <c r="C152" s="20" t="str">
        <f t="shared" si="2"/>
        <v/>
      </c>
      <c r="D152" s="26"/>
    </row>
    <row r="153" spans="1:4">
      <c r="A153" s="19">
        <v>0.52300000000000002</v>
      </c>
      <c r="C153" s="20" t="str">
        <f t="shared" si="2"/>
        <v/>
      </c>
      <c r="D153" s="26"/>
    </row>
    <row r="154" spans="1:4">
      <c r="A154" s="19">
        <v>0.58799999999999997</v>
      </c>
      <c r="C154" s="20" t="str">
        <f t="shared" si="2"/>
        <v/>
      </c>
      <c r="D154" s="26"/>
    </row>
    <row r="155" spans="1:4">
      <c r="A155" s="19">
        <v>0.58899999999999997</v>
      </c>
      <c r="C155" s="20" t="str">
        <f t="shared" si="2"/>
        <v/>
      </c>
      <c r="D155" s="26"/>
    </row>
    <row r="156" spans="1:4">
      <c r="A156" s="19">
        <v>0.53900000000000003</v>
      </c>
      <c r="C156" s="20" t="str">
        <f t="shared" si="2"/>
        <v/>
      </c>
      <c r="D156" s="26"/>
    </row>
    <row r="157" spans="1:4">
      <c r="A157" s="19">
        <v>0.54100000000000004</v>
      </c>
      <c r="C157" s="20" t="str">
        <f t="shared" si="2"/>
        <v/>
      </c>
      <c r="D157" s="26"/>
    </row>
    <row r="158" spans="1:4">
      <c r="A158" s="19">
        <v>0.60599999999999998</v>
      </c>
      <c r="C158" s="20" t="str">
        <f t="shared" si="2"/>
        <v/>
      </c>
      <c r="D158" s="26"/>
    </row>
    <row r="159" spans="1:4">
      <c r="A159" s="19">
        <v>0.60599999999999998</v>
      </c>
      <c r="C159" s="20" t="str">
        <f t="shared" si="2"/>
        <v/>
      </c>
      <c r="D159" s="26"/>
    </row>
    <row r="160" spans="1:4">
      <c r="A160" s="19">
        <v>0.56599999999999995</v>
      </c>
      <c r="C160" s="20" t="str">
        <f t="shared" si="2"/>
        <v/>
      </c>
      <c r="D160" s="26"/>
    </row>
    <row r="161" spans="1:4">
      <c r="A161" s="19">
        <v>0.56100000000000005</v>
      </c>
      <c r="C161" s="20" t="str">
        <f t="shared" si="2"/>
        <v/>
      </c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NC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415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463</v>
      </c>
      <c r="B2" s="106">
        <v>4</v>
      </c>
      <c r="C2" s="106">
        <v>1</v>
      </c>
      <c r="D2" s="106">
        <v>2</v>
      </c>
      <c r="E2" s="106">
        <v>20</v>
      </c>
      <c r="F2" s="106" t="s">
        <v>419</v>
      </c>
      <c r="GY2" s="97" t="s">
        <v>464</v>
      </c>
      <c r="GZ2" s="108">
        <v>0.39100000000000001</v>
      </c>
      <c r="HA2" s="108">
        <v>0.39800000000000002</v>
      </c>
      <c r="HB2" s="108">
        <v>0.36199999999999999</v>
      </c>
      <c r="HC2" s="108">
        <v>0.35199999999999998</v>
      </c>
      <c r="HD2" s="108">
        <v>0.39100000000000001</v>
      </c>
      <c r="HE2" s="108">
        <v>0.38800000000000001</v>
      </c>
      <c r="HF2" s="108">
        <v>0.35299999999999998</v>
      </c>
      <c r="HG2" s="108">
        <v>0.35199999999999998</v>
      </c>
      <c r="HH2" s="108">
        <v>0.39200000000000002</v>
      </c>
      <c r="HI2" s="108">
        <v>0.39200000000000002</v>
      </c>
      <c r="HJ2" s="108">
        <v>0.35299999999999998</v>
      </c>
      <c r="HK2" s="108">
        <v>0.35399999999999998</v>
      </c>
      <c r="HL2" s="108">
        <v>0.39400000000000002</v>
      </c>
      <c r="HM2" s="108">
        <v>0.40500000000000003</v>
      </c>
      <c r="HN2" s="108">
        <v>0.35199999999999998</v>
      </c>
      <c r="HO2" s="108">
        <v>0.35199999999999998</v>
      </c>
      <c r="HP2" s="108">
        <v>0.39300000000000002</v>
      </c>
      <c r="HQ2" s="108">
        <v>0.39200000000000002</v>
      </c>
      <c r="HR2" s="108">
        <v>0.35299999999999998</v>
      </c>
      <c r="HS2" s="108">
        <v>0.35199999999999998</v>
      </c>
      <c r="HT2" s="108">
        <v>0.39700000000000002</v>
      </c>
      <c r="HU2" s="108">
        <v>0.39400000000000002</v>
      </c>
      <c r="HV2" s="108">
        <v>0.35199999999999998</v>
      </c>
      <c r="HW2" s="108">
        <v>0.35399999999999998</v>
      </c>
      <c r="HX2" s="108">
        <v>0.40100000000000002</v>
      </c>
      <c r="HY2" s="108">
        <v>0.39700000000000002</v>
      </c>
      <c r="HZ2" s="108">
        <v>0.35699999999999998</v>
      </c>
      <c r="IA2" s="108">
        <v>0.35899999999999999</v>
      </c>
      <c r="IB2" s="108">
        <v>0.40400000000000003</v>
      </c>
      <c r="IC2" s="108">
        <v>0.4</v>
      </c>
      <c r="ID2" s="108">
        <v>0.35899999999999999</v>
      </c>
      <c r="IE2" s="108">
        <v>0.36199999999999999</v>
      </c>
      <c r="IF2" s="108">
        <v>0.40899999999999997</v>
      </c>
      <c r="IG2" s="108">
        <v>0.40699999999999997</v>
      </c>
      <c r="IH2" s="108">
        <v>0.36399999999999999</v>
      </c>
      <c r="II2" s="108">
        <v>0.36699999999999999</v>
      </c>
      <c r="IJ2" s="108">
        <v>0.41499999999999998</v>
      </c>
      <c r="IK2" s="108">
        <v>0.41099999999999998</v>
      </c>
      <c r="IL2" s="108">
        <v>0.36899999999999999</v>
      </c>
      <c r="IM2" s="108">
        <v>0.371</v>
      </c>
      <c r="IN2" s="108">
        <v>0.52200000000000002</v>
      </c>
      <c r="IO2" s="108">
        <v>0.499</v>
      </c>
      <c r="IP2" s="108">
        <v>0.46400000000000002</v>
      </c>
      <c r="IQ2" s="108">
        <v>0.46400000000000002</v>
      </c>
      <c r="IR2" s="108">
        <v>0.52500000000000002</v>
      </c>
      <c r="IS2" s="108">
        <v>0.51600000000000001</v>
      </c>
      <c r="IT2" s="108">
        <v>0.47699999999999998</v>
      </c>
      <c r="IU2" s="108">
        <v>0.47799999999999998</v>
      </c>
      <c r="IV2" s="108">
        <v>0.54100000000000004</v>
      </c>
      <c r="IW2" s="108">
        <v>0.53200000000000003</v>
      </c>
      <c r="IX2" s="108">
        <v>0.49099999999999999</v>
      </c>
      <c r="IY2" s="108">
        <v>0.496</v>
      </c>
      <c r="IZ2" s="108">
        <v>0.55100000000000005</v>
      </c>
      <c r="JA2" s="108">
        <v>0.54800000000000004</v>
      </c>
      <c r="JB2" s="108">
        <v>0.50600000000000001</v>
      </c>
      <c r="JC2" s="108">
        <v>0.505</v>
      </c>
      <c r="JD2" s="108">
        <v>0.56899999999999995</v>
      </c>
      <c r="JE2" s="108">
        <v>0.56599999999999995</v>
      </c>
      <c r="JF2" s="108">
        <v>0.52200000000000002</v>
      </c>
      <c r="JG2" s="108">
        <v>0.52200000000000002</v>
      </c>
      <c r="JH2" s="108">
        <v>0.58899999999999997</v>
      </c>
      <c r="JI2" s="108">
        <v>0.58099999999999996</v>
      </c>
      <c r="JJ2" s="108">
        <v>0.53900000000000003</v>
      </c>
      <c r="JK2" s="108">
        <v>0.54400000000000004</v>
      </c>
      <c r="JL2" s="108">
        <v>0.60799999999999998</v>
      </c>
      <c r="JM2" s="108">
        <v>0.59899999999999998</v>
      </c>
      <c r="JN2" s="108">
        <v>0.55900000000000005</v>
      </c>
      <c r="JO2" s="108">
        <v>0.56699999999999995</v>
      </c>
      <c r="JP2" s="108">
        <v>0.628</v>
      </c>
      <c r="JQ2" s="108">
        <v>0.62</v>
      </c>
      <c r="JR2" s="108">
        <v>0.58299999999999996</v>
      </c>
      <c r="JS2" s="108">
        <v>0.59199999999999997</v>
      </c>
      <c r="JT2" s="108">
        <v>0.64400000000000002</v>
      </c>
      <c r="JU2" s="108">
        <v>0.63800000000000001</v>
      </c>
      <c r="JV2" s="108">
        <v>0.60099999999999998</v>
      </c>
      <c r="JW2" s="108">
        <v>0.60899999999999999</v>
      </c>
      <c r="JX2" s="108">
        <v>0.66100000000000003</v>
      </c>
      <c r="JY2" s="108">
        <v>0.65600000000000003</v>
      </c>
      <c r="JZ2" s="108">
        <v>0.621</v>
      </c>
      <c r="KA2" s="108">
        <v>0.61899999999999999</v>
      </c>
      <c r="KB2" s="108">
        <v>0.33100000000000002</v>
      </c>
      <c r="KC2" s="108">
        <v>0.32800000000000001</v>
      </c>
      <c r="KD2" s="108">
        <v>0.24</v>
      </c>
      <c r="KE2" s="108">
        <v>0.24099999999999999</v>
      </c>
      <c r="KF2" s="108">
        <v>0.33100000000000002</v>
      </c>
      <c r="KG2" s="108">
        <v>0.32800000000000001</v>
      </c>
      <c r="KH2" s="108">
        <v>0.24399999999999999</v>
      </c>
      <c r="KI2" s="108">
        <v>0.24099999999999999</v>
      </c>
      <c r="KJ2" s="108">
        <v>0.33200000000000002</v>
      </c>
      <c r="KK2" s="108">
        <v>0.32800000000000001</v>
      </c>
      <c r="KL2" s="108">
        <v>0.247</v>
      </c>
      <c r="KM2" s="108">
        <v>0.245</v>
      </c>
      <c r="KN2" s="108">
        <v>0.32800000000000001</v>
      </c>
      <c r="KO2" s="108">
        <v>0.32700000000000001</v>
      </c>
      <c r="KP2" s="108">
        <v>0.246</v>
      </c>
      <c r="KQ2" s="108">
        <v>0.247</v>
      </c>
      <c r="KR2" s="108">
        <v>0.33</v>
      </c>
      <c r="KS2" s="108">
        <v>0.32800000000000001</v>
      </c>
      <c r="KT2" s="108">
        <v>0.25</v>
      </c>
      <c r="KU2" s="108">
        <v>0.25</v>
      </c>
      <c r="KV2" s="108">
        <v>0.33600000000000002</v>
      </c>
      <c r="KW2" s="108">
        <v>0.32900000000000001</v>
      </c>
      <c r="KX2" s="108">
        <v>0.252</v>
      </c>
      <c r="KY2" s="108">
        <v>0.254</v>
      </c>
      <c r="KZ2" s="108">
        <v>0.33500000000000002</v>
      </c>
      <c r="LA2" s="108">
        <v>0.33300000000000002</v>
      </c>
      <c r="LB2" s="108">
        <v>0.254</v>
      </c>
      <c r="LC2" s="108">
        <v>0.25600000000000001</v>
      </c>
      <c r="LD2" s="108">
        <v>0.33900000000000002</v>
      </c>
      <c r="LE2" s="108">
        <v>0.33500000000000002</v>
      </c>
      <c r="LF2" s="108">
        <v>0.26100000000000001</v>
      </c>
      <c r="LG2" s="108">
        <v>0.26100000000000001</v>
      </c>
      <c r="LH2" s="108">
        <v>0.34499999999999997</v>
      </c>
      <c r="LI2" s="108">
        <v>0.34200000000000003</v>
      </c>
      <c r="LJ2" s="108">
        <v>0.26500000000000001</v>
      </c>
      <c r="LK2" s="108">
        <v>0.26600000000000001</v>
      </c>
      <c r="LL2" s="108">
        <v>0.34799999999999998</v>
      </c>
      <c r="LM2" s="108">
        <v>0.34499999999999997</v>
      </c>
      <c r="LN2" s="108">
        <v>0.27300000000000002</v>
      </c>
      <c r="LO2" s="108">
        <v>0.26900000000000002</v>
      </c>
      <c r="LP2" s="108">
        <v>0.45</v>
      </c>
      <c r="LQ2" s="108">
        <v>0.443</v>
      </c>
      <c r="LR2" s="108">
        <v>0.372</v>
      </c>
      <c r="LS2" s="108">
        <v>0.376</v>
      </c>
      <c r="LT2" s="108">
        <v>0.46700000000000003</v>
      </c>
      <c r="LU2" s="108">
        <v>0.45800000000000002</v>
      </c>
      <c r="LV2" s="108">
        <v>0.38700000000000001</v>
      </c>
      <c r="LW2" s="108">
        <v>0.39100000000000001</v>
      </c>
      <c r="LX2" s="108">
        <v>0.47199999999999998</v>
      </c>
      <c r="LY2" s="108">
        <v>0.47199999999999998</v>
      </c>
      <c r="LZ2" s="108">
        <v>0.40400000000000003</v>
      </c>
      <c r="MA2" s="108">
        <v>0.39600000000000002</v>
      </c>
      <c r="MB2" s="108">
        <v>0.49</v>
      </c>
      <c r="MC2" s="108">
        <v>0.49</v>
      </c>
      <c r="MD2" s="108">
        <v>0.42299999999999999</v>
      </c>
      <c r="ME2" s="108">
        <v>0.42299999999999999</v>
      </c>
      <c r="MF2" s="108">
        <v>0.51</v>
      </c>
      <c r="MG2" s="108">
        <v>0.499</v>
      </c>
      <c r="MH2" s="108">
        <v>0.44700000000000001</v>
      </c>
      <c r="MI2" s="108">
        <v>0.44800000000000001</v>
      </c>
      <c r="MJ2" s="108">
        <v>0.53200000000000003</v>
      </c>
      <c r="MK2" s="108">
        <v>0.52400000000000002</v>
      </c>
      <c r="ML2" s="108">
        <v>0.46600000000000003</v>
      </c>
      <c r="MM2" s="108">
        <v>0.47</v>
      </c>
      <c r="MN2" s="108">
        <v>0.55400000000000005</v>
      </c>
      <c r="MO2" s="108">
        <v>0.54600000000000004</v>
      </c>
      <c r="MP2" s="108">
        <v>0.49</v>
      </c>
      <c r="MQ2" s="108">
        <v>0.496</v>
      </c>
      <c r="MR2" s="108">
        <v>0.57199999999999995</v>
      </c>
      <c r="MS2" s="108">
        <v>0.56699999999999995</v>
      </c>
      <c r="MT2" s="108">
        <v>0.51700000000000002</v>
      </c>
      <c r="MU2" s="108">
        <v>0.52300000000000002</v>
      </c>
      <c r="MV2" s="108">
        <v>0.58799999999999997</v>
      </c>
      <c r="MW2" s="108">
        <v>0.58899999999999997</v>
      </c>
      <c r="MX2" s="108">
        <v>0.53900000000000003</v>
      </c>
      <c r="MY2" s="108">
        <v>0.54100000000000004</v>
      </c>
      <c r="MZ2" s="108">
        <v>0.60599999999999998</v>
      </c>
      <c r="NA2" s="108">
        <v>0.60599999999999998</v>
      </c>
      <c r="NB2" s="108">
        <v>0.56599999999999995</v>
      </c>
      <c r="NC2" s="108">
        <v>0.56100000000000005</v>
      </c>
      <c r="BXV2" s="109">
        <v>1</v>
      </c>
      <c r="BXW2" s="108" t="s">
        <v>401</v>
      </c>
      <c r="BXX2" s="108" t="s">
        <v>154</v>
      </c>
      <c r="BYA2" s="103">
        <v>0</v>
      </c>
      <c r="BYX2" s="108">
        <v>1</v>
      </c>
      <c r="BYY2" s="108">
        <v>4</v>
      </c>
      <c r="CAD2" s="108" t="s">
        <v>463</v>
      </c>
      <c r="CAE2" s="108">
        <v>8.4</v>
      </c>
      <c r="CAF2" s="108">
        <v>5</v>
      </c>
      <c r="CAG2" s="108" t="s">
        <v>158</v>
      </c>
      <c r="CAH2" s="108" t="s">
        <v>465</v>
      </c>
      <c r="CAI2" s="108">
        <v>1794</v>
      </c>
      <c r="CAJ2" s="108" t="s">
        <v>466</v>
      </c>
      <c r="CAK2" s="108">
        <v>1</v>
      </c>
      <c r="CAM2" s="108">
        <v>1</v>
      </c>
      <c r="CAN2" s="108">
        <v>4</v>
      </c>
      <c r="CAO2" s="108">
        <v>0.115</v>
      </c>
      <c r="CAP2" s="108">
        <v>0</v>
      </c>
      <c r="CAQ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467</v>
      </c>
      <c r="B3" s="106">
        <v>2</v>
      </c>
      <c r="C3" s="106">
        <v>1</v>
      </c>
      <c r="D3" s="106">
        <v>24</v>
      </c>
      <c r="E3" s="106">
        <v>2</v>
      </c>
      <c r="F3" s="106" t="s">
        <v>419</v>
      </c>
      <c r="GY3" s="97" t="s">
        <v>468</v>
      </c>
      <c r="GZ3" s="108">
        <v>1.0529999999999999</v>
      </c>
      <c r="HA3" s="108">
        <v>0.996</v>
      </c>
      <c r="HB3" s="108">
        <v>1.109</v>
      </c>
      <c r="HC3" s="108">
        <v>1.0049999999999999</v>
      </c>
      <c r="HD3" s="108">
        <v>1.052</v>
      </c>
      <c r="HE3" s="108">
        <v>0.996</v>
      </c>
      <c r="HF3" s="108">
        <v>1.0920000000000001</v>
      </c>
      <c r="HG3" s="108">
        <v>1</v>
      </c>
      <c r="HH3" s="108">
        <v>1.052</v>
      </c>
      <c r="HI3" s="108">
        <v>0.99399999999999999</v>
      </c>
      <c r="HJ3" s="108">
        <v>1.0860000000000001</v>
      </c>
      <c r="HK3" s="108">
        <v>1</v>
      </c>
      <c r="HL3" s="108">
        <v>1.05</v>
      </c>
      <c r="HM3" s="108">
        <v>0.99099999999999999</v>
      </c>
      <c r="HN3" s="108">
        <v>1.093</v>
      </c>
      <c r="HO3" s="108">
        <v>0.996</v>
      </c>
      <c r="HP3" s="108">
        <v>1.052</v>
      </c>
      <c r="HQ3" s="108">
        <v>0.99099999999999999</v>
      </c>
      <c r="HR3" s="108">
        <v>1.087</v>
      </c>
      <c r="HS3" s="108">
        <v>0.996</v>
      </c>
      <c r="HT3" s="108">
        <v>1.0469999999999999</v>
      </c>
      <c r="HU3" s="108">
        <v>0.98799999999999999</v>
      </c>
      <c r="HV3" s="108">
        <v>1.0820000000000001</v>
      </c>
      <c r="HW3" s="108">
        <v>0.996</v>
      </c>
      <c r="HX3" s="108">
        <v>1.0429999999999999</v>
      </c>
      <c r="HY3" s="108">
        <v>0.98599999999999999</v>
      </c>
      <c r="HZ3" s="108">
        <v>1.0780000000000001</v>
      </c>
      <c r="IA3" s="108">
        <v>0.996</v>
      </c>
      <c r="IB3" s="108">
        <v>1.0389999999999999</v>
      </c>
      <c r="IC3" s="108">
        <v>0.98099999999999998</v>
      </c>
      <c r="ID3" s="108">
        <v>1.0720000000000001</v>
      </c>
      <c r="IE3" s="108">
        <v>0.98899999999999999</v>
      </c>
      <c r="IF3" s="108">
        <v>1.0309999999999999</v>
      </c>
      <c r="IG3" s="108">
        <v>0.97599999999999998</v>
      </c>
      <c r="IH3" s="108">
        <v>1.0609999999999999</v>
      </c>
      <c r="II3" s="108">
        <v>0.98399999999999999</v>
      </c>
      <c r="IJ3" s="108">
        <v>1.032</v>
      </c>
      <c r="IK3" s="108">
        <v>0.97299999999999998</v>
      </c>
      <c r="IL3" s="108">
        <v>1.0629999999999999</v>
      </c>
      <c r="IM3" s="108">
        <v>0.98</v>
      </c>
      <c r="IN3" s="108">
        <v>1.032</v>
      </c>
      <c r="IO3" s="108">
        <v>0.97299999999999998</v>
      </c>
      <c r="IP3" s="108">
        <v>1.0660000000000001</v>
      </c>
      <c r="IQ3" s="108">
        <v>0.98</v>
      </c>
      <c r="IR3" s="108">
        <v>1.0209999999999999</v>
      </c>
      <c r="IS3" s="108">
        <v>0.96299999999999997</v>
      </c>
      <c r="IT3" s="108">
        <v>1.0549999999999999</v>
      </c>
      <c r="IU3" s="108">
        <v>0.97299999999999998</v>
      </c>
      <c r="IV3" s="108">
        <v>1.016</v>
      </c>
      <c r="IW3" s="108">
        <v>0.95599999999999996</v>
      </c>
      <c r="IX3" s="108">
        <v>1.052</v>
      </c>
      <c r="IY3" s="108">
        <v>0.96599999999999997</v>
      </c>
      <c r="IZ3" s="108">
        <v>1.0149999999999999</v>
      </c>
      <c r="JA3" s="108">
        <v>0.95299999999999996</v>
      </c>
      <c r="JB3" s="108">
        <v>1.0489999999999999</v>
      </c>
      <c r="JC3" s="108">
        <v>0.96499999999999997</v>
      </c>
      <c r="JD3" s="108">
        <v>1.014</v>
      </c>
      <c r="JE3" s="108">
        <v>0.94699999999999995</v>
      </c>
      <c r="JF3" s="108">
        <v>1.052</v>
      </c>
      <c r="JG3" s="108">
        <v>0.96399999999999997</v>
      </c>
      <c r="JH3" s="108">
        <v>1.018</v>
      </c>
      <c r="JI3" s="108">
        <v>0.94899999999999995</v>
      </c>
      <c r="JJ3" s="108">
        <v>1.05</v>
      </c>
      <c r="JK3" s="108">
        <v>0.96799999999999997</v>
      </c>
      <c r="JL3" s="108">
        <v>1.012</v>
      </c>
      <c r="JM3" s="108">
        <v>0.93899999999999995</v>
      </c>
      <c r="JN3" s="108">
        <v>1.046</v>
      </c>
      <c r="JO3" s="108">
        <v>0.96099999999999997</v>
      </c>
      <c r="JP3" s="108">
        <v>1.0129999999999999</v>
      </c>
      <c r="JQ3" s="108">
        <v>0.93400000000000005</v>
      </c>
      <c r="JR3" s="108">
        <v>1.0529999999999999</v>
      </c>
      <c r="JS3" s="108">
        <v>0.96099999999999997</v>
      </c>
      <c r="JT3" s="108">
        <v>1.0189999999999999</v>
      </c>
      <c r="JU3" s="108">
        <v>0.93700000000000006</v>
      </c>
      <c r="JV3" s="108">
        <v>1.0640000000000001</v>
      </c>
      <c r="JW3" s="108">
        <v>0.96899999999999997</v>
      </c>
      <c r="JX3" s="108">
        <v>1.0249999999999999</v>
      </c>
      <c r="JY3" s="108">
        <v>0.94</v>
      </c>
      <c r="JZ3" s="108">
        <v>1.069</v>
      </c>
      <c r="KA3" s="108">
        <v>0.97199999999999998</v>
      </c>
      <c r="KB3" s="108">
        <v>1.026</v>
      </c>
      <c r="KC3" s="108">
        <v>0.93500000000000005</v>
      </c>
      <c r="KD3" s="108">
        <v>1.0740000000000001</v>
      </c>
      <c r="KE3" s="108">
        <v>0.97499999999999998</v>
      </c>
      <c r="KF3" s="108">
        <v>1.024</v>
      </c>
      <c r="KG3" s="108">
        <v>0.93</v>
      </c>
      <c r="KH3" s="108">
        <v>1.0669999999999999</v>
      </c>
      <c r="KI3" s="108">
        <v>0.97099999999999997</v>
      </c>
      <c r="KJ3" s="108">
        <v>1.016</v>
      </c>
      <c r="KK3" s="108">
        <v>0.91900000000000004</v>
      </c>
      <c r="KL3" s="108">
        <v>1.0620000000000001</v>
      </c>
      <c r="KM3" s="108">
        <v>0.96</v>
      </c>
      <c r="KN3" s="108">
        <v>1.0189999999999999</v>
      </c>
      <c r="KO3" s="108">
        <v>0.91900000000000004</v>
      </c>
      <c r="KP3" s="108">
        <v>1.0660000000000001</v>
      </c>
      <c r="KQ3" s="108">
        <v>0.96399999999999997</v>
      </c>
      <c r="BXV3" s="109">
        <v>1</v>
      </c>
      <c r="BXW3" s="108" t="s">
        <v>401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0.12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0.27500000000000002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469</v>
      </c>
      <c r="B4" s="106">
        <v>4</v>
      </c>
      <c r="C4" s="106">
        <v>1</v>
      </c>
      <c r="D4" s="106">
        <v>1</v>
      </c>
      <c r="E4" s="106">
        <v>10</v>
      </c>
      <c r="F4" s="106" t="s">
        <v>419</v>
      </c>
      <c r="GY4" s="97" t="s">
        <v>468</v>
      </c>
      <c r="GZ4" s="108">
        <v>2.11</v>
      </c>
      <c r="HA4" s="108">
        <v>2.1040000000000001</v>
      </c>
      <c r="HB4" s="108">
        <v>2.16</v>
      </c>
      <c r="HC4" s="108">
        <v>2.157</v>
      </c>
      <c r="HD4" s="108">
        <v>2.1240000000000001</v>
      </c>
      <c r="HE4" s="108">
        <v>2.12</v>
      </c>
      <c r="HF4" s="108">
        <v>2.1819999999999999</v>
      </c>
      <c r="HG4" s="108">
        <v>2.1720000000000002</v>
      </c>
      <c r="HH4" s="108">
        <v>2.14</v>
      </c>
      <c r="HI4" s="108">
        <v>2.1419999999999999</v>
      </c>
      <c r="HJ4" s="108">
        <v>2.1880000000000002</v>
      </c>
      <c r="HK4" s="108">
        <v>2.1869999999999998</v>
      </c>
      <c r="HL4" s="108">
        <v>2.1520000000000001</v>
      </c>
      <c r="HM4" s="108">
        <v>2.1480000000000001</v>
      </c>
      <c r="HN4" s="108">
        <v>2.2040000000000002</v>
      </c>
      <c r="HO4" s="108">
        <v>2.1970000000000001</v>
      </c>
      <c r="HP4" s="108">
        <v>2.1680000000000001</v>
      </c>
      <c r="HQ4" s="108">
        <v>2.1680000000000001</v>
      </c>
      <c r="HR4" s="108">
        <v>2.2160000000000002</v>
      </c>
      <c r="HS4" s="108">
        <v>2.2149999999999999</v>
      </c>
      <c r="HT4" s="108">
        <v>2.0289999999999999</v>
      </c>
      <c r="HU4" s="108">
        <v>2.0190000000000001</v>
      </c>
      <c r="HV4" s="108">
        <v>2.0739999999999998</v>
      </c>
      <c r="HW4" s="108">
        <v>2.073</v>
      </c>
      <c r="HX4" s="108">
        <v>2.0459999999999998</v>
      </c>
      <c r="HY4" s="108">
        <v>2.04</v>
      </c>
      <c r="HZ4" s="108">
        <v>2.0920000000000001</v>
      </c>
      <c r="IA4" s="108">
        <v>2.0880000000000001</v>
      </c>
      <c r="IB4" s="108">
        <v>2.0710000000000002</v>
      </c>
      <c r="IC4" s="108">
        <v>2.0699999999999998</v>
      </c>
      <c r="ID4" s="108">
        <v>2.1120000000000001</v>
      </c>
      <c r="IE4" s="108">
        <v>2.1080000000000001</v>
      </c>
      <c r="IF4" s="108">
        <v>2.0880000000000001</v>
      </c>
      <c r="IG4" s="108">
        <v>2.089</v>
      </c>
      <c r="IH4" s="108">
        <v>2.1339999999999999</v>
      </c>
      <c r="II4" s="108">
        <v>2.1280000000000001</v>
      </c>
      <c r="IJ4" s="108">
        <v>2.1139999999999999</v>
      </c>
      <c r="IK4" s="108">
        <v>2.1139999999999999</v>
      </c>
      <c r="IL4" s="108">
        <v>2.1549999999999998</v>
      </c>
      <c r="IM4" s="108">
        <v>2.1589999999999998</v>
      </c>
      <c r="BXV4" s="109">
        <v>1</v>
      </c>
      <c r="BXW4" s="108" t="s">
        <v>401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0.125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470</v>
      </c>
      <c r="B5" s="106">
        <v>4</v>
      </c>
      <c r="C5" s="106">
        <v>2</v>
      </c>
      <c r="D5" s="106">
        <v>3</v>
      </c>
      <c r="E5" s="106">
        <v>6</v>
      </c>
      <c r="F5" s="106" t="s">
        <v>419</v>
      </c>
      <c r="GY5" s="97" t="s">
        <v>471</v>
      </c>
      <c r="GZ5" s="108">
        <v>1.103</v>
      </c>
      <c r="HA5" s="108">
        <v>1.1100000000000001</v>
      </c>
      <c r="HB5" s="108">
        <v>1.07</v>
      </c>
      <c r="HC5" s="108">
        <v>1.0569999999999999</v>
      </c>
      <c r="HD5" s="108">
        <v>1.103</v>
      </c>
      <c r="HE5" s="108">
        <v>1.097</v>
      </c>
      <c r="HF5" s="108">
        <v>1.0629999999999999</v>
      </c>
      <c r="HG5" s="108">
        <v>1.0529999999999999</v>
      </c>
      <c r="HH5" s="108">
        <v>1.0960000000000001</v>
      </c>
      <c r="HI5" s="108">
        <v>1.0940000000000001</v>
      </c>
      <c r="HJ5" s="108">
        <v>1.0569999999999999</v>
      </c>
      <c r="HK5" s="108">
        <v>1.0569999999999999</v>
      </c>
      <c r="HL5" s="108">
        <v>1.1599999999999999</v>
      </c>
      <c r="HM5" s="108">
        <v>1.145</v>
      </c>
      <c r="HN5" s="108">
        <v>1.107</v>
      </c>
      <c r="HO5" s="108">
        <v>1.1080000000000001</v>
      </c>
      <c r="HP5" s="108">
        <v>1.1679999999999999</v>
      </c>
      <c r="HQ5" s="108">
        <v>1.1579999999999999</v>
      </c>
      <c r="HR5" s="108">
        <v>1.121</v>
      </c>
      <c r="HS5" s="108">
        <v>1.109</v>
      </c>
      <c r="HT5" s="108">
        <v>1.173</v>
      </c>
      <c r="HU5" s="108">
        <v>1.169</v>
      </c>
      <c r="HV5" s="108">
        <v>1.129</v>
      </c>
      <c r="HW5" s="108">
        <v>1.1259999999999999</v>
      </c>
      <c r="HX5" s="108">
        <v>1.099</v>
      </c>
      <c r="HY5" s="108">
        <v>1.1000000000000001</v>
      </c>
      <c r="HZ5" s="108">
        <v>1.056</v>
      </c>
      <c r="IA5" s="108">
        <v>1.056</v>
      </c>
      <c r="IB5" s="108">
        <v>1.097</v>
      </c>
      <c r="IC5" s="108">
        <v>1.091</v>
      </c>
      <c r="ID5" s="108">
        <v>1.0549999999999999</v>
      </c>
      <c r="IE5" s="108">
        <v>1.0549999999999999</v>
      </c>
      <c r="IF5" s="108">
        <v>1.097</v>
      </c>
      <c r="IG5" s="108">
        <v>1.095</v>
      </c>
      <c r="IH5" s="108">
        <v>1.0580000000000001</v>
      </c>
      <c r="II5" s="108">
        <v>1.0569999999999999</v>
      </c>
      <c r="IJ5" s="108">
        <v>1.1859999999999999</v>
      </c>
      <c r="IK5" s="108">
        <v>1.173</v>
      </c>
      <c r="IL5" s="108">
        <v>1.137</v>
      </c>
      <c r="IM5" s="108">
        <v>1.1339999999999999</v>
      </c>
      <c r="IN5" s="108">
        <v>1.2050000000000001</v>
      </c>
      <c r="IO5" s="108">
        <v>1.1919999999999999</v>
      </c>
      <c r="IP5" s="108">
        <v>1.157</v>
      </c>
      <c r="IQ5" s="108">
        <v>1.159</v>
      </c>
      <c r="IR5" s="108">
        <v>1.22</v>
      </c>
      <c r="IS5" s="108">
        <v>1.2110000000000001</v>
      </c>
      <c r="IT5" s="108">
        <v>1.175</v>
      </c>
      <c r="IU5" s="108">
        <v>1.1819999999999999</v>
      </c>
      <c r="IV5" s="108">
        <v>1.105</v>
      </c>
      <c r="IW5" s="108">
        <v>1.097</v>
      </c>
      <c r="IX5" s="108">
        <v>1.0589999999999999</v>
      </c>
      <c r="IY5" s="108">
        <v>1.0569999999999999</v>
      </c>
      <c r="IZ5" s="108">
        <v>1.1040000000000001</v>
      </c>
      <c r="JA5" s="108">
        <v>1.097</v>
      </c>
      <c r="JB5" s="108">
        <v>1.0609999999999999</v>
      </c>
      <c r="JC5" s="108">
        <v>1.0629999999999999</v>
      </c>
      <c r="JD5" s="108">
        <v>1.1060000000000001</v>
      </c>
      <c r="JE5" s="108">
        <v>1.103</v>
      </c>
      <c r="JF5" s="108">
        <v>1.0660000000000001</v>
      </c>
      <c r="JG5" s="108">
        <v>1.0649999999999999</v>
      </c>
      <c r="JH5" s="108">
        <v>1.2450000000000001</v>
      </c>
      <c r="JI5" s="108">
        <v>1.2330000000000001</v>
      </c>
      <c r="JJ5" s="108">
        <v>1.1890000000000001</v>
      </c>
      <c r="JK5" s="108">
        <v>1.2010000000000001</v>
      </c>
      <c r="JL5" s="108">
        <v>1.2529999999999999</v>
      </c>
      <c r="JM5" s="108">
        <v>1.2490000000000001</v>
      </c>
      <c r="JN5" s="108">
        <v>1.22</v>
      </c>
      <c r="JO5" s="108">
        <v>1.2190000000000001</v>
      </c>
      <c r="JP5" s="108">
        <v>1.2669999999999999</v>
      </c>
      <c r="JQ5" s="108">
        <v>1.268</v>
      </c>
      <c r="JR5" s="108">
        <v>1.2370000000000001</v>
      </c>
      <c r="JS5" s="108">
        <v>1.234</v>
      </c>
      <c r="BXV5" s="109">
        <v>1</v>
      </c>
      <c r="BXW5" s="108" t="s">
        <v>401</v>
      </c>
      <c r="BXX5" s="108" t="s">
        <v>154</v>
      </c>
      <c r="BYA5" s="103">
        <v>0</v>
      </c>
      <c r="BYD5" s="103">
        <v>0</v>
      </c>
      <c r="BYX5" s="108">
        <v>2</v>
      </c>
      <c r="BYY5" s="108">
        <v>2</v>
      </c>
      <c r="BYZ5" s="108">
        <v>2</v>
      </c>
      <c r="CAM5" s="108">
        <v>1</v>
      </c>
      <c r="CAN5" s="108">
        <v>2</v>
      </c>
      <c r="CAO5" s="108">
        <v>0.125</v>
      </c>
      <c r="CAP5" s="108">
        <v>0</v>
      </c>
      <c r="CAQ5" s="108">
        <v>0.14899999999999999</v>
      </c>
      <c r="CAR5" s="108">
        <v>3</v>
      </c>
      <c r="CAS5" s="108">
        <v>4</v>
      </c>
      <c r="CAT5" s="108">
        <v>0.125</v>
      </c>
      <c r="CAU5" s="108">
        <v>0</v>
      </c>
      <c r="CAV5" s="108">
        <v>0.14899999999999999</v>
      </c>
      <c r="XFA5" s="106"/>
      <c r="XFB5" s="106"/>
      <c r="XFC5" s="106">
        <v>4</v>
      </c>
      <c r="XFD5" s="106">
        <v>4</v>
      </c>
    </row>
    <row r="6" spans="1:2216 16381:16384">
      <c r="A6" s="106" t="s">
        <v>472</v>
      </c>
      <c r="B6" s="106">
        <v>2</v>
      </c>
      <c r="C6" s="106">
        <v>1</v>
      </c>
      <c r="D6" s="106">
        <v>2</v>
      </c>
      <c r="E6" s="106">
        <v>14</v>
      </c>
      <c r="F6" s="106" t="s">
        <v>419</v>
      </c>
      <c r="GY6" s="97" t="s">
        <v>473</v>
      </c>
      <c r="GZ6" s="108">
        <v>7.9000000000000001E-2</v>
      </c>
      <c r="HA6" s="108">
        <v>0.1</v>
      </c>
      <c r="HB6" s="108">
        <v>9.6000000000000002E-2</v>
      </c>
      <c r="HC6" s="108">
        <v>0.114</v>
      </c>
      <c r="HD6" s="108">
        <v>0.104</v>
      </c>
      <c r="HE6" s="108">
        <v>0.127</v>
      </c>
      <c r="HF6" s="108">
        <v>0.111</v>
      </c>
      <c r="HG6" s="108">
        <v>0.13800000000000001</v>
      </c>
      <c r="HH6" s="108">
        <v>0.124</v>
      </c>
      <c r="HI6" s="108">
        <v>0.155</v>
      </c>
      <c r="HJ6" s="108">
        <v>0.13700000000000001</v>
      </c>
      <c r="HK6" s="108">
        <v>0.17399999999999999</v>
      </c>
      <c r="HL6" s="108">
        <v>0.153</v>
      </c>
      <c r="HM6" s="108">
        <v>0.189</v>
      </c>
      <c r="HN6" s="108">
        <v>0.14399999999999999</v>
      </c>
      <c r="HO6" s="108">
        <v>0.17899999999999999</v>
      </c>
      <c r="HP6" s="108">
        <v>0.161</v>
      </c>
      <c r="HQ6" s="108">
        <v>0.19500000000000001</v>
      </c>
      <c r="HR6" s="108">
        <v>0.17799999999999999</v>
      </c>
      <c r="HS6" s="108">
        <v>0.215</v>
      </c>
      <c r="HT6" s="108">
        <v>0.19800000000000001</v>
      </c>
      <c r="HU6" s="108">
        <v>0.23799999999999999</v>
      </c>
      <c r="HV6" s="108">
        <v>0.22500000000000001</v>
      </c>
      <c r="HW6" s="108">
        <v>0.26500000000000001</v>
      </c>
      <c r="HX6" s="108">
        <v>0.25</v>
      </c>
      <c r="HY6" s="108">
        <v>0.28000000000000003</v>
      </c>
      <c r="HZ6" s="108">
        <v>0.26800000000000002</v>
      </c>
      <c r="IA6" s="108">
        <v>0.30299999999999999</v>
      </c>
      <c r="IB6" s="108">
        <v>4.7E-2</v>
      </c>
      <c r="IC6" s="108">
        <v>9.7000000000000003E-2</v>
      </c>
      <c r="ID6" s="108">
        <v>6.4000000000000001E-2</v>
      </c>
      <c r="IE6" s="108">
        <v>0.11700000000000001</v>
      </c>
      <c r="IF6" s="108">
        <v>7.6999999999999999E-2</v>
      </c>
      <c r="IG6" s="108">
        <v>0.122</v>
      </c>
      <c r="IH6" s="108">
        <v>9.2999999999999999E-2</v>
      </c>
      <c r="II6" s="108">
        <v>0.13200000000000001</v>
      </c>
      <c r="IJ6" s="108">
        <v>0.11</v>
      </c>
      <c r="IK6" s="108">
        <v>0.14499999999999999</v>
      </c>
      <c r="IL6" s="108">
        <v>0.122</v>
      </c>
      <c r="IM6" s="108">
        <v>0.154</v>
      </c>
      <c r="IN6" s="108">
        <v>0.13400000000000001</v>
      </c>
      <c r="IO6" s="108">
        <v>0.16700000000000001</v>
      </c>
      <c r="IP6" s="108">
        <v>0.127</v>
      </c>
      <c r="IQ6" s="108">
        <v>0.153</v>
      </c>
      <c r="IR6" s="108">
        <v>0.14899999999999999</v>
      </c>
      <c r="IS6" s="108">
        <v>0.17899999999999999</v>
      </c>
      <c r="IT6" s="108">
        <v>0.16800000000000001</v>
      </c>
      <c r="IU6" s="108">
        <v>0.2</v>
      </c>
      <c r="IV6" s="108">
        <v>0.19400000000000001</v>
      </c>
      <c r="IW6" s="108">
        <v>0.221</v>
      </c>
      <c r="IX6" s="108">
        <v>0.22</v>
      </c>
      <c r="IY6" s="108">
        <v>0.246</v>
      </c>
      <c r="IZ6" s="108">
        <v>0.23899999999999999</v>
      </c>
      <c r="JA6" s="108">
        <v>0.26800000000000002</v>
      </c>
      <c r="JB6" s="108">
        <v>0.25900000000000001</v>
      </c>
      <c r="JC6" s="108">
        <v>0.28799999999999998</v>
      </c>
      <c r="BXV6" s="109">
        <v>1</v>
      </c>
      <c r="BXW6" s="108" t="s">
        <v>401</v>
      </c>
      <c r="BXX6" s="108" t="s">
        <v>154</v>
      </c>
      <c r="BYA6" s="103">
        <v>0</v>
      </c>
      <c r="BYX6" s="108">
        <v>2</v>
      </c>
      <c r="BYY6" s="108">
        <v>1</v>
      </c>
      <c r="BYZ6" s="108">
        <v>1</v>
      </c>
      <c r="CAM6" s="108">
        <v>1</v>
      </c>
      <c r="CAN6" s="108">
        <v>1</v>
      </c>
      <c r="CAO6" s="108">
        <v>0.24</v>
      </c>
      <c r="CAP6" s="108">
        <v>0</v>
      </c>
      <c r="CAQ6" s="108">
        <v>0.129</v>
      </c>
      <c r="CAR6" s="108">
        <v>2</v>
      </c>
      <c r="CAS6" s="108">
        <v>2</v>
      </c>
      <c r="CAT6" s="108">
        <v>0.26</v>
      </c>
      <c r="CAU6" s="108">
        <v>0</v>
      </c>
      <c r="CAV6" s="108">
        <v>0.129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421</v>
      </c>
      <c r="B7" s="106">
        <v>3</v>
      </c>
      <c r="C7" s="106">
        <v>1</v>
      </c>
      <c r="D7" s="106">
        <v>1</v>
      </c>
      <c r="E7" s="106">
        <v>24</v>
      </c>
      <c r="F7" s="106" t="s">
        <v>419</v>
      </c>
      <c r="GY7" s="95" t="s">
        <v>474</v>
      </c>
      <c r="GZ7" s="108">
        <v>0.26700000000000002</v>
      </c>
      <c r="HA7" s="108">
        <v>0.26900000000000002</v>
      </c>
      <c r="HB7" s="108">
        <v>0.22800000000000001</v>
      </c>
      <c r="HC7" s="108">
        <v>0.25800000000000001</v>
      </c>
      <c r="HD7" s="108">
        <v>0.25700000000000001</v>
      </c>
      <c r="HE7" s="108">
        <v>0.23799999999999999</v>
      </c>
      <c r="HF7" s="108">
        <v>0.249</v>
      </c>
      <c r="HG7" s="108">
        <v>0.249</v>
      </c>
      <c r="HH7" s="108">
        <v>0.20699999999999999</v>
      </c>
      <c r="HI7" s="108">
        <v>0.23699999999999999</v>
      </c>
      <c r="HJ7" s="108">
        <v>0.22500000000000001</v>
      </c>
      <c r="HK7" s="108">
        <v>0.19800000000000001</v>
      </c>
      <c r="HL7" s="108">
        <v>0.16</v>
      </c>
      <c r="HM7" s="108">
        <v>0.222</v>
      </c>
      <c r="HN7" s="108">
        <v>0.187</v>
      </c>
      <c r="HO7" s="108">
        <v>0.22</v>
      </c>
      <c r="HP7" s="108">
        <v>0.214</v>
      </c>
      <c r="HQ7" s="108">
        <v>0.17699999999999999</v>
      </c>
      <c r="HR7" s="108">
        <v>0.2</v>
      </c>
      <c r="HS7" s="108">
        <v>0.2</v>
      </c>
      <c r="HT7" s="108">
        <v>0.13</v>
      </c>
      <c r="HU7" s="108">
        <v>0.189</v>
      </c>
      <c r="HV7" s="108">
        <v>0.183</v>
      </c>
      <c r="HW7" s="108">
        <v>0.152</v>
      </c>
      <c r="HX7" s="108">
        <v>0.17799999999999999</v>
      </c>
      <c r="HY7" s="108">
        <v>0.17699999999999999</v>
      </c>
      <c r="HZ7" s="108">
        <v>0.14299999999999999</v>
      </c>
      <c r="IA7" s="108">
        <v>0.16700000000000001</v>
      </c>
      <c r="IB7" s="108">
        <v>0.16300000000000001</v>
      </c>
      <c r="IC7" s="108">
        <v>9.0999999999999998E-2</v>
      </c>
      <c r="ID7" s="108">
        <v>8.5999999999999993E-2</v>
      </c>
      <c r="IE7" s="108">
        <v>0.14799999999999999</v>
      </c>
      <c r="IF7" s="108">
        <v>0.115</v>
      </c>
      <c r="IG7" s="108">
        <v>0.14299999999999999</v>
      </c>
      <c r="IH7" s="108">
        <v>0.13900000000000001</v>
      </c>
      <c r="II7" s="108">
        <v>0.104</v>
      </c>
      <c r="IJ7" s="108">
        <v>0.27100000000000002</v>
      </c>
      <c r="IK7" s="108">
        <v>0.25800000000000001</v>
      </c>
      <c r="IL7" s="108">
        <v>0.223</v>
      </c>
      <c r="IM7" s="108">
        <v>0.26</v>
      </c>
      <c r="IN7" s="108">
        <v>0.252</v>
      </c>
      <c r="IO7" s="108">
        <v>0.215</v>
      </c>
      <c r="IP7" s="108">
        <v>0.252</v>
      </c>
      <c r="IQ7" s="108">
        <v>0.247</v>
      </c>
      <c r="IR7" s="108">
        <v>0.20899999999999999</v>
      </c>
      <c r="IS7" s="108">
        <v>0.24299999999999999</v>
      </c>
      <c r="IT7" s="108">
        <v>0.23599999999999999</v>
      </c>
      <c r="IU7" s="108">
        <v>0.2</v>
      </c>
      <c r="IV7" s="108">
        <v>0.23599999999999999</v>
      </c>
      <c r="IW7" s="108">
        <v>0.23100000000000001</v>
      </c>
      <c r="IX7" s="108">
        <v>0.19500000000000001</v>
      </c>
      <c r="IY7" s="108">
        <v>0.22800000000000001</v>
      </c>
      <c r="IZ7" s="108">
        <v>0.23400000000000001</v>
      </c>
      <c r="JA7" s="108">
        <v>0.19700000000000001</v>
      </c>
      <c r="JB7" s="108">
        <v>0.224</v>
      </c>
      <c r="JC7" s="108">
        <v>0.22600000000000001</v>
      </c>
      <c r="JD7" s="108">
        <v>0.188</v>
      </c>
      <c r="JE7" s="108">
        <v>0.218</v>
      </c>
      <c r="JF7" s="108">
        <v>0.218</v>
      </c>
      <c r="JG7" s="108">
        <v>0.18099999999999999</v>
      </c>
      <c r="JH7" s="108">
        <v>0.21099999999999999</v>
      </c>
      <c r="JI7" s="108">
        <v>0.21199999999999999</v>
      </c>
      <c r="JJ7" s="108">
        <v>0.17199999999999999</v>
      </c>
      <c r="JK7" s="108">
        <v>0.21099999999999999</v>
      </c>
      <c r="JL7" s="108">
        <v>0.20599999999999999</v>
      </c>
      <c r="JM7" s="108">
        <v>0.155</v>
      </c>
      <c r="JN7" s="108">
        <v>0.193</v>
      </c>
      <c r="JO7" s="108">
        <v>0.19900000000000001</v>
      </c>
      <c r="JP7" s="108">
        <v>0.16</v>
      </c>
      <c r="JQ7" s="108">
        <v>0.193</v>
      </c>
      <c r="JR7" s="108">
        <v>0.184</v>
      </c>
      <c r="JS7" s="108">
        <v>0.14399999999999999</v>
      </c>
      <c r="BXV7" s="109">
        <v>1</v>
      </c>
      <c r="BXW7" s="108" t="s">
        <v>401</v>
      </c>
      <c r="BXX7" s="108" t="s">
        <v>154</v>
      </c>
      <c r="BYA7" s="103">
        <v>0</v>
      </c>
      <c r="BYX7" s="108">
        <v>2</v>
      </c>
      <c r="BYY7" s="108">
        <v>2</v>
      </c>
      <c r="BYZ7" s="108">
        <v>1</v>
      </c>
      <c r="CAM7" s="108">
        <v>1</v>
      </c>
      <c r="CAN7" s="108">
        <v>2</v>
      </c>
      <c r="CAO7" s="108">
        <v>0.12</v>
      </c>
      <c r="CAP7" s="108">
        <v>0.01</v>
      </c>
      <c r="CAQ7" s="108">
        <v>8.8999999999999996E-2</v>
      </c>
      <c r="CAR7" s="108">
        <v>3</v>
      </c>
      <c r="CAS7" s="108">
        <v>3</v>
      </c>
      <c r="CAT7" s="108">
        <v>0.12</v>
      </c>
      <c r="CAU7" s="108">
        <v>0.01</v>
      </c>
      <c r="CAV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418</v>
      </c>
      <c r="B8" s="106">
        <v>4</v>
      </c>
      <c r="C8" s="106">
        <v>1</v>
      </c>
      <c r="D8" s="106">
        <v>1</v>
      </c>
      <c r="E8" s="106">
        <v>16</v>
      </c>
      <c r="F8" s="106" t="s">
        <v>419</v>
      </c>
      <c r="G8" s="106"/>
      <c r="GY8" s="95" t="s">
        <v>420</v>
      </c>
      <c r="GZ8" s="108">
        <v>0.41</v>
      </c>
      <c r="HA8" s="108">
        <v>0.41199999999999998</v>
      </c>
      <c r="HB8" s="108">
        <v>0.46700000000000003</v>
      </c>
      <c r="HC8" s="108">
        <v>0.46800000000000003</v>
      </c>
      <c r="HD8" s="108">
        <v>0.47099999999999997</v>
      </c>
      <c r="HE8" s="108">
        <v>0.47299999999999998</v>
      </c>
      <c r="HF8" s="108">
        <v>0.41</v>
      </c>
      <c r="HG8" s="108">
        <v>0.40600000000000003</v>
      </c>
      <c r="HH8" s="108">
        <v>0.41599999999999998</v>
      </c>
      <c r="HI8" s="108">
        <v>0.41199999999999998</v>
      </c>
      <c r="HJ8" s="108">
        <v>0.46700000000000003</v>
      </c>
      <c r="HK8" s="108">
        <v>0.46600000000000003</v>
      </c>
      <c r="HL8" s="108">
        <v>0.46700000000000003</v>
      </c>
      <c r="HM8" s="108">
        <v>0.46400000000000002</v>
      </c>
      <c r="HN8" s="108">
        <v>0.41299999999999998</v>
      </c>
      <c r="HO8" s="108">
        <v>0.41</v>
      </c>
      <c r="HP8" s="108">
        <v>0.41499999999999998</v>
      </c>
      <c r="HQ8" s="108">
        <v>0.41499999999999998</v>
      </c>
      <c r="HR8" s="108">
        <v>0.46400000000000002</v>
      </c>
      <c r="HS8" s="108">
        <v>0.46100000000000002</v>
      </c>
      <c r="HT8" s="108">
        <v>0.46300000000000002</v>
      </c>
      <c r="HU8" s="108">
        <v>0.46100000000000002</v>
      </c>
      <c r="HV8" s="108">
        <v>0.41199999999999998</v>
      </c>
      <c r="HW8" s="108">
        <v>0.41</v>
      </c>
      <c r="HX8" s="108">
        <v>0.41399999999999998</v>
      </c>
      <c r="HY8" s="108">
        <v>0.40899999999999997</v>
      </c>
      <c r="HZ8" s="108">
        <v>0.45900000000000002</v>
      </c>
      <c r="IA8" s="108">
        <v>0.45400000000000001</v>
      </c>
      <c r="IB8" s="108">
        <v>0.45400000000000001</v>
      </c>
      <c r="IC8" s="108">
        <v>0.45200000000000001</v>
      </c>
      <c r="ID8" s="108">
        <v>0.40699999999999997</v>
      </c>
      <c r="IE8" s="108">
        <v>0.40600000000000003</v>
      </c>
      <c r="IF8" s="108">
        <v>0.40500000000000003</v>
      </c>
      <c r="IG8" s="108">
        <v>0.39</v>
      </c>
      <c r="IH8" s="108">
        <v>0.42299999999999999</v>
      </c>
      <c r="II8" s="108">
        <v>0.42699999999999999</v>
      </c>
      <c r="IJ8" s="108">
        <v>0.432</v>
      </c>
      <c r="IK8" s="108">
        <v>0.42899999999999999</v>
      </c>
      <c r="IL8" s="108">
        <v>0.38900000000000001</v>
      </c>
      <c r="IM8" s="108">
        <v>0.38900000000000001</v>
      </c>
      <c r="IN8" s="108">
        <v>0.39500000000000002</v>
      </c>
      <c r="IO8" s="108">
        <v>0.39200000000000002</v>
      </c>
      <c r="IP8" s="108">
        <v>0.42499999999999999</v>
      </c>
      <c r="IQ8" s="108">
        <v>0.42599999999999999</v>
      </c>
      <c r="IR8" s="108">
        <v>0.432</v>
      </c>
      <c r="IS8" s="108">
        <v>0.42899999999999999</v>
      </c>
      <c r="IT8" s="108">
        <v>0.39400000000000002</v>
      </c>
      <c r="IU8" s="108">
        <v>0.38600000000000001</v>
      </c>
      <c r="IV8" s="108">
        <v>0.39700000000000002</v>
      </c>
      <c r="IW8" s="108">
        <v>0.39600000000000002</v>
      </c>
      <c r="IX8" s="108">
        <v>0.42799999999999999</v>
      </c>
      <c r="IY8" s="108">
        <v>0.42599999999999999</v>
      </c>
      <c r="IZ8" s="108">
        <v>0.44</v>
      </c>
      <c r="JA8" s="108">
        <v>0.439</v>
      </c>
      <c r="JB8" s="108">
        <v>0.39900000000000002</v>
      </c>
      <c r="JC8" s="108">
        <v>0.39600000000000002</v>
      </c>
      <c r="JD8" s="108">
        <v>0.40899999999999997</v>
      </c>
      <c r="JE8" s="108">
        <v>0.40200000000000002</v>
      </c>
      <c r="JF8" s="108">
        <v>0.434</v>
      </c>
      <c r="JG8" s="108">
        <v>0.434</v>
      </c>
      <c r="JH8" s="108">
        <v>0.442</v>
      </c>
      <c r="JI8" s="108">
        <v>0.44500000000000001</v>
      </c>
      <c r="JJ8" s="108">
        <v>0.40500000000000003</v>
      </c>
      <c r="JK8" s="108">
        <v>0.39900000000000002</v>
      </c>
      <c r="BXV8" s="109">
        <v>1</v>
      </c>
      <c r="BXW8" s="108" t="s">
        <v>401</v>
      </c>
      <c r="BXX8" s="108" t="s">
        <v>154</v>
      </c>
      <c r="BYA8" s="103">
        <v>0</v>
      </c>
      <c r="BYX8" s="108">
        <v>1</v>
      </c>
      <c r="BYY8" s="108">
        <v>4</v>
      </c>
      <c r="CAM8" s="108">
        <v>1</v>
      </c>
      <c r="CAN8" s="108">
        <v>4</v>
      </c>
      <c r="CAO8" s="108">
        <v>0.11</v>
      </c>
      <c r="CAP8" s="108">
        <v>0</v>
      </c>
      <c r="CAQ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422</v>
      </c>
      <c r="B9" s="106">
        <v>2</v>
      </c>
      <c r="C9" s="106">
        <v>2</v>
      </c>
      <c r="D9" s="106">
        <v>1</v>
      </c>
      <c r="E9" s="106">
        <v>12</v>
      </c>
      <c r="F9" s="106" t="s">
        <v>419</v>
      </c>
      <c r="GY9" s="95" t="s">
        <v>423</v>
      </c>
      <c r="GZ9" s="108">
        <v>0.377</v>
      </c>
      <c r="HA9" s="108">
        <v>0.45</v>
      </c>
      <c r="HB9" s="108">
        <v>0.439</v>
      </c>
      <c r="HC9" s="108">
        <v>0.379</v>
      </c>
      <c r="HD9" s="108">
        <v>0.375</v>
      </c>
      <c r="HE9" s="108">
        <v>0.42699999999999999</v>
      </c>
      <c r="HF9" s="108">
        <v>0.41599999999999998</v>
      </c>
      <c r="HG9" s="108">
        <v>0.36699999999999999</v>
      </c>
      <c r="HH9" s="108">
        <v>0.37</v>
      </c>
      <c r="HI9" s="108">
        <v>0.40500000000000003</v>
      </c>
      <c r="HJ9" s="108">
        <v>0.39</v>
      </c>
      <c r="HK9" s="108">
        <v>0.36099999999999999</v>
      </c>
      <c r="HL9" s="108">
        <v>0.377</v>
      </c>
      <c r="HM9" s="108">
        <v>0.4</v>
      </c>
      <c r="HN9" s="108">
        <v>0.39200000000000002</v>
      </c>
      <c r="HO9" s="108">
        <v>0.375</v>
      </c>
      <c r="HP9" s="108">
        <v>0.39200000000000002</v>
      </c>
      <c r="HQ9" s="108">
        <v>0.39100000000000001</v>
      </c>
      <c r="HR9" s="108">
        <v>0.40100000000000002</v>
      </c>
      <c r="HS9" s="108">
        <v>0.38700000000000001</v>
      </c>
      <c r="HT9" s="108">
        <v>0.40600000000000003</v>
      </c>
      <c r="HU9" s="108">
        <v>0.39600000000000002</v>
      </c>
      <c r="HV9" s="108">
        <v>0.39300000000000002</v>
      </c>
      <c r="HW9" s="108">
        <v>0.40300000000000002</v>
      </c>
      <c r="BXV9" s="109">
        <v>1</v>
      </c>
      <c r="BXW9" s="108" t="s">
        <v>401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</v>
      </c>
      <c r="CAP9" s="108">
        <v>0.01</v>
      </c>
      <c r="CAQ9" s="108">
        <v>8.8999999999999996E-2</v>
      </c>
      <c r="XFA9" s="106"/>
      <c r="XFB9" s="106"/>
      <c r="XFC9" s="106">
        <v>8.1</v>
      </c>
      <c r="XFD9" s="106"/>
    </row>
    <row r="10" spans="1:2216 16381:16384">
      <c r="A10" s="106" t="s">
        <v>424</v>
      </c>
      <c r="B10" s="106">
        <v>2</v>
      </c>
      <c r="C10" s="106">
        <v>2</v>
      </c>
      <c r="D10" s="106">
        <v>2</v>
      </c>
      <c r="E10" s="106">
        <v>24</v>
      </c>
      <c r="F10" s="106" t="s">
        <v>419</v>
      </c>
      <c r="GY10" s="95" t="s">
        <v>425</v>
      </c>
      <c r="GZ10" s="108">
        <v>0.65700000000000003</v>
      </c>
      <c r="HA10" s="108">
        <v>0.65400000000000003</v>
      </c>
      <c r="HB10" s="108">
        <v>0.65500000000000003</v>
      </c>
      <c r="HC10" s="108">
        <v>0.65300000000000002</v>
      </c>
      <c r="HD10" s="108">
        <v>0.65</v>
      </c>
      <c r="HE10" s="108">
        <v>0.64100000000000001</v>
      </c>
      <c r="HF10" s="108">
        <v>0.63900000000000001</v>
      </c>
      <c r="HG10" s="108">
        <v>0.628</v>
      </c>
      <c r="HH10" s="108">
        <v>0.625</v>
      </c>
      <c r="HI10" s="108">
        <v>0.62</v>
      </c>
      <c r="HJ10" s="108">
        <v>0.621</v>
      </c>
      <c r="HK10" s="108">
        <v>0.60599999999999998</v>
      </c>
      <c r="HL10" s="108">
        <v>0.59599999999999997</v>
      </c>
      <c r="HM10" s="108">
        <v>0.59799999999999998</v>
      </c>
      <c r="HN10" s="108">
        <v>0.59</v>
      </c>
      <c r="HO10" s="108">
        <v>0.56100000000000005</v>
      </c>
      <c r="HP10" s="108">
        <v>0.65800000000000003</v>
      </c>
      <c r="HQ10" s="108">
        <v>0.65500000000000003</v>
      </c>
      <c r="HR10" s="108">
        <v>0.65300000000000002</v>
      </c>
      <c r="HS10" s="108">
        <v>0.65200000000000002</v>
      </c>
      <c r="HT10" s="108">
        <v>0.64800000000000002</v>
      </c>
      <c r="HU10" s="108">
        <v>0.63800000000000001</v>
      </c>
      <c r="HV10" s="108">
        <v>0.63600000000000001</v>
      </c>
      <c r="HW10" s="108">
        <v>0.624</v>
      </c>
      <c r="HX10" s="108">
        <v>0.60699999999999998</v>
      </c>
      <c r="HY10" s="108">
        <v>0.59799999999999998</v>
      </c>
      <c r="HZ10" s="108">
        <v>0.59299999999999997</v>
      </c>
      <c r="IA10" s="108">
        <v>0.59099999999999997</v>
      </c>
      <c r="IB10" s="108">
        <v>0.58599999999999997</v>
      </c>
      <c r="IC10" s="108">
        <v>0.57299999999999995</v>
      </c>
      <c r="ID10" s="108">
        <v>0.56799999999999995</v>
      </c>
      <c r="IE10" s="108">
        <v>0.55800000000000005</v>
      </c>
      <c r="IF10" s="108">
        <v>0.55300000000000005</v>
      </c>
      <c r="IG10" s="108">
        <v>0.55200000000000005</v>
      </c>
      <c r="IH10" s="108">
        <v>0.55100000000000005</v>
      </c>
      <c r="II10" s="108">
        <v>0.53900000000000003</v>
      </c>
      <c r="IJ10" s="108">
        <v>0.53100000000000003</v>
      </c>
      <c r="IK10" s="108">
        <v>0.53500000000000003</v>
      </c>
      <c r="IL10" s="108">
        <v>0.52600000000000002</v>
      </c>
      <c r="IM10" s="108">
        <v>0.498</v>
      </c>
      <c r="IN10" s="108">
        <v>0.59699999999999998</v>
      </c>
      <c r="IO10" s="108">
        <v>0.59199999999999997</v>
      </c>
      <c r="IP10" s="108">
        <v>0.59</v>
      </c>
      <c r="IQ10" s="108">
        <v>0.58899999999999997</v>
      </c>
      <c r="IR10" s="108">
        <v>0.58499999999999996</v>
      </c>
      <c r="IS10" s="108">
        <v>0.56899999999999995</v>
      </c>
      <c r="IT10" s="108">
        <v>0.56799999999999995</v>
      </c>
      <c r="IU10" s="108">
        <v>0.55600000000000005</v>
      </c>
      <c r="IV10" s="108">
        <v>0.62</v>
      </c>
      <c r="IW10" s="108">
        <v>0.61799999999999999</v>
      </c>
      <c r="IX10" s="108">
        <v>0.61699999999999999</v>
      </c>
      <c r="IY10" s="108">
        <v>0.60299999999999998</v>
      </c>
      <c r="IZ10" s="108">
        <v>0.59099999999999997</v>
      </c>
      <c r="JA10" s="108">
        <v>0.59399999999999997</v>
      </c>
      <c r="JB10" s="108">
        <v>0.58899999999999997</v>
      </c>
      <c r="JC10" s="108">
        <v>0.56299999999999994</v>
      </c>
      <c r="JD10" s="108">
        <v>0.65200000000000002</v>
      </c>
      <c r="JE10" s="108">
        <v>0.64700000000000002</v>
      </c>
      <c r="JF10" s="108">
        <v>0.64700000000000002</v>
      </c>
      <c r="JG10" s="108">
        <v>0.64600000000000002</v>
      </c>
      <c r="JH10" s="108">
        <v>0.64100000000000001</v>
      </c>
      <c r="JI10" s="108">
        <v>0.629</v>
      </c>
      <c r="JJ10" s="108">
        <v>0.627</v>
      </c>
      <c r="JK10" s="108">
        <v>0.61899999999999999</v>
      </c>
      <c r="JL10" s="108">
        <v>0.61299999999999999</v>
      </c>
      <c r="JM10" s="108">
        <v>0.61099999999999999</v>
      </c>
      <c r="JN10" s="108">
        <v>0.60899999999999999</v>
      </c>
      <c r="JO10" s="108">
        <v>0.6</v>
      </c>
      <c r="JP10" s="108">
        <v>0.58699999999999997</v>
      </c>
      <c r="JQ10" s="108">
        <v>0.59</v>
      </c>
      <c r="JR10" s="108">
        <v>0.58499999999999996</v>
      </c>
      <c r="JS10" s="108">
        <v>0.55900000000000005</v>
      </c>
      <c r="JT10" s="108">
        <v>0.55100000000000005</v>
      </c>
      <c r="JU10" s="108">
        <v>0.55100000000000005</v>
      </c>
      <c r="JV10" s="108">
        <v>0.55200000000000005</v>
      </c>
      <c r="JW10" s="108">
        <v>0.54200000000000004</v>
      </c>
      <c r="JX10" s="108">
        <v>0.53400000000000003</v>
      </c>
      <c r="JY10" s="108">
        <v>0.53600000000000003</v>
      </c>
      <c r="JZ10" s="108">
        <v>0.53300000000000003</v>
      </c>
      <c r="KA10" s="108">
        <v>0.50800000000000001</v>
      </c>
      <c r="KB10" s="108">
        <v>0.59</v>
      </c>
      <c r="KC10" s="108">
        <v>0.58099999999999996</v>
      </c>
      <c r="KD10" s="108">
        <v>0.57999999999999996</v>
      </c>
      <c r="KE10" s="108">
        <v>0.57899999999999996</v>
      </c>
      <c r="KF10" s="108">
        <v>0.57199999999999995</v>
      </c>
      <c r="KG10" s="108">
        <v>0.55900000000000005</v>
      </c>
      <c r="KH10" s="108">
        <v>0.56000000000000005</v>
      </c>
      <c r="KI10" s="108">
        <v>0.54600000000000004</v>
      </c>
      <c r="KJ10" s="108">
        <v>0.54</v>
      </c>
      <c r="KK10" s="108">
        <v>0.54200000000000004</v>
      </c>
      <c r="KL10" s="108">
        <v>0.54100000000000004</v>
      </c>
      <c r="KM10" s="108">
        <v>0.53500000000000003</v>
      </c>
      <c r="KN10" s="108">
        <v>0.52400000000000002</v>
      </c>
      <c r="KO10" s="108">
        <v>0.52800000000000002</v>
      </c>
      <c r="KP10" s="108">
        <v>0.52400000000000002</v>
      </c>
      <c r="KQ10" s="108">
        <v>0.503</v>
      </c>
      <c r="BXV10" s="109">
        <v>1</v>
      </c>
      <c r="BXW10" s="108" t="s">
        <v>401</v>
      </c>
      <c r="BXX10" s="108" t="s">
        <v>154</v>
      </c>
      <c r="BYA10" s="103">
        <v>0</v>
      </c>
      <c r="BYD10" s="103">
        <v>0</v>
      </c>
      <c r="BYX10" s="108">
        <v>1</v>
      </c>
      <c r="BYY10" s="108">
        <v>2</v>
      </c>
      <c r="CAM10" s="108">
        <v>1</v>
      </c>
      <c r="CAN10" s="108">
        <v>2</v>
      </c>
      <c r="CAO10" s="108">
        <v>0.126</v>
      </c>
      <c r="CAP10" s="108">
        <v>0.01</v>
      </c>
      <c r="CAQ10" s="108">
        <v>0.14899999999999999</v>
      </c>
      <c r="XFA10" s="106"/>
      <c r="XFB10" s="106"/>
      <c r="XFC10" s="106">
        <v>8.1999999999999993</v>
      </c>
      <c r="XFD10" s="106"/>
    </row>
    <row r="11" spans="1:2216 16381:16384">
      <c r="GY11" s="95"/>
      <c r="XFA11" s="106"/>
      <c r="XFB11" s="106"/>
      <c r="XFC11" s="106">
        <v>8.3000000000000007</v>
      </c>
      <c r="XFD11" s="106"/>
    </row>
    <row r="12" spans="1:2216 16381:16384">
      <c r="GY12" s="95"/>
      <c r="XFA12" s="106"/>
      <c r="XFB12" s="106"/>
      <c r="XFC12" s="106">
        <v>8.4</v>
      </c>
      <c r="XFD12" s="106"/>
    </row>
    <row r="13" spans="1:2216 16381:16384">
      <c r="GY13" s="95"/>
      <c r="XFB13" s="106"/>
      <c r="XFC13" s="106">
        <v>9</v>
      </c>
      <c r="XFD13" s="106"/>
    </row>
    <row r="14" spans="1:2216 16381:16384">
      <c r="GY14" s="95"/>
      <c r="XFC14" s="106">
        <v>10</v>
      </c>
      <c r="XFD14" s="106"/>
    </row>
    <row r="15" spans="1:2216 16381:16384">
      <c r="GY15" s="95"/>
    </row>
    <row r="16" spans="1:2216 16381:16384">
      <c r="GY16" s="95"/>
    </row>
    <row r="17" spans="207:207">
      <c r="GY17" s="95"/>
    </row>
    <row r="18" spans="207:207">
      <c r="GY18" s="95"/>
    </row>
    <row r="19" spans="207:207">
      <c r="GY19" s="95"/>
    </row>
    <row r="20" spans="207:207">
      <c r="GY20" s="95"/>
    </row>
    <row r="21" spans="207:207">
      <c r="GY21" s="95"/>
    </row>
    <row r="22" spans="207:207">
      <c r="GY22" s="95"/>
    </row>
    <row r="23" spans="207:207">
      <c r="GY23" s="95"/>
    </row>
    <row r="24" spans="207:207">
      <c r="GY24" s="95"/>
    </row>
    <row r="25" spans="207:207">
      <c r="GY25" s="95"/>
    </row>
    <row r="26" spans="207:207">
      <c r="GY26" s="95"/>
    </row>
    <row r="27" spans="207:207">
      <c r="GY27" s="95"/>
    </row>
    <row r="28" spans="207:207">
      <c r="GY28" s="95"/>
    </row>
    <row r="29" spans="207:207">
      <c r="GY29" s="95"/>
    </row>
    <row r="30" spans="207:207">
      <c r="GY30" s="95"/>
    </row>
    <row r="31" spans="207:207">
      <c r="GY31" s="95"/>
    </row>
    <row r="32" spans="207:207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402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403</v>
      </c>
      <c r="ABE1" s="102" t="s">
        <v>414</v>
      </c>
      <c r="ABF1" s="102" t="s">
        <v>404</v>
      </c>
      <c r="ABG1" s="102" t="s">
        <v>405</v>
      </c>
      <c r="ABH1" s="102" t="s">
        <v>406</v>
      </c>
      <c r="ABI1" s="102" t="s">
        <v>407</v>
      </c>
      <c r="ABJ1" s="102" t="s">
        <v>408</v>
      </c>
      <c r="ABK1" s="102" t="s">
        <v>409</v>
      </c>
      <c r="ABL1" s="102" t="s">
        <v>410</v>
      </c>
      <c r="ABM1" s="102" t="s">
        <v>411</v>
      </c>
      <c r="ABN1" s="102" t="s">
        <v>412</v>
      </c>
      <c r="ABO1" s="102" t="s">
        <v>413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398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399</v>
      </c>
      <c r="AH2" s="98" t="s">
        <v>400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456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457</v>
      </c>
      <c r="BO2" s="94" t="s">
        <v>191</v>
      </c>
      <c r="BP2" s="94"/>
      <c r="BQ2" s="98" t="s">
        <v>401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461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426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462</v>
      </c>
      <c r="XFB3" s="105" t="s">
        <v>158</v>
      </c>
    </row>
    <row r="4" spans="1:743 16382:16384">
      <c r="A4" s="98" t="s">
        <v>427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428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417</v>
      </c>
      <c r="B5" s="98" t="s">
        <v>398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390</v>
      </c>
      <c r="AG5" s="98" t="s">
        <v>391</v>
      </c>
      <c r="AH5" s="98" t="s">
        <v>380</v>
      </c>
      <c r="AI5" s="98" t="s">
        <v>416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429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390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430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431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432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433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391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434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390</v>
      </c>
      <c r="AH11" s="98" t="s">
        <v>391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435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390</v>
      </c>
      <c r="AH12" s="98" t="s">
        <v>391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436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458</v>
      </c>
      <c r="BN14" s="98" t="s">
        <v>459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392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390</v>
      </c>
      <c r="AG18" s="98" t="s">
        <v>391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393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394</v>
      </c>
      <c r="AG19" s="98" t="s">
        <v>395</v>
      </c>
      <c r="AH19" s="98" t="s">
        <v>394</v>
      </c>
      <c r="AI19" s="98" t="s">
        <v>396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397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437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428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438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439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440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390</v>
      </c>
      <c r="AH24" s="98" t="s">
        <v>391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441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391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442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443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444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445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446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447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448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395</v>
      </c>
      <c r="AG32" s="98" t="s">
        <v>396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449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450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451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452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391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3" t="s">
        <v>454</v>
      </c>
      <c r="C2" s="123"/>
      <c r="D2" s="131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3"/>
      <c r="C3" s="123"/>
      <c r="D3" s="131"/>
      <c r="E3" s="76"/>
      <c r="F3" s="76"/>
      <c r="G3" s="76"/>
    </row>
    <row r="4" spans="2:7" ht="28.5" customHeight="1">
      <c r="B4" s="123"/>
      <c r="C4" s="123"/>
      <c r="D4" s="131"/>
      <c r="E4" s="79"/>
      <c r="F4" s="79"/>
      <c r="G4" s="79"/>
    </row>
    <row r="5" spans="2:7" ht="28.5" customHeight="1">
      <c r="B5" s="123" t="s">
        <v>0</v>
      </c>
      <c r="C5" s="123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24" t="s">
        <v>215</v>
      </c>
      <c r="C6" s="125"/>
      <c r="D6" s="78"/>
      <c r="E6" s="78"/>
      <c r="F6" s="78"/>
      <c r="G6" s="78"/>
    </row>
    <row r="7" spans="2:7" ht="28.5" customHeight="1">
      <c r="B7" s="141" t="s">
        <v>216</v>
      </c>
      <c r="C7" s="142"/>
      <c r="D7" s="85" t="s">
        <v>218</v>
      </c>
      <c r="E7" s="85" t="s">
        <v>217</v>
      </c>
      <c r="F7" s="136" t="s">
        <v>219</v>
      </c>
      <c r="G7" s="128" t="s">
        <v>224</v>
      </c>
    </row>
    <row r="8" spans="2:7" ht="21" customHeight="1">
      <c r="B8" s="126" t="s">
        <v>316</v>
      </c>
      <c r="C8" s="127"/>
      <c r="D8" s="90"/>
      <c r="E8" s="90"/>
      <c r="F8" s="136"/>
      <c r="G8" s="129"/>
    </row>
    <row r="9" spans="2:7" ht="21" customHeight="1">
      <c r="B9" s="137" t="s">
        <v>11</v>
      </c>
      <c r="C9" s="138"/>
      <c r="D9" s="83"/>
      <c r="E9" s="83"/>
      <c r="F9" s="136"/>
      <c r="G9" s="129"/>
    </row>
    <row r="10" spans="2:7" ht="21" customHeight="1">
      <c r="B10" s="137" t="s">
        <v>12</v>
      </c>
      <c r="C10" s="138"/>
      <c r="D10" s="84"/>
      <c r="E10" s="84"/>
      <c r="F10" s="136"/>
      <c r="G10" s="129"/>
    </row>
    <row r="11" spans="2:7" ht="21" customHeight="1">
      <c r="B11" s="139" t="s">
        <v>1</v>
      </c>
      <c r="C11" s="140"/>
      <c r="D11" s="82">
        <f>MAX(D19:D20)</f>
        <v>0</v>
      </c>
      <c r="E11" s="82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82">
        <f>MIN(D19:D20)</f>
        <v>0</v>
      </c>
      <c r="E12" s="82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82" t="e">
        <f>AVERAGEA(D19:D20)</f>
        <v>#DIV/0!</v>
      </c>
      <c r="E13" s="82" t="e">
        <f>AVERAGEA(E19:E20)</f>
        <v>#DIV/0!</v>
      </c>
      <c r="F13" s="136"/>
      <c r="G13" s="129"/>
    </row>
    <row r="14" spans="2:7" s="73" customFormat="1" ht="21" customHeight="1">
      <c r="B14" s="132" t="s">
        <v>15</v>
      </c>
      <c r="C14" s="133"/>
      <c r="D14" s="74" t="e">
        <f>STDEV(D19:D20)</f>
        <v>#DIV/0!</v>
      </c>
      <c r="E14" s="74" t="e">
        <f>STDEV(E19:E20)</f>
        <v>#DIV/0!</v>
      </c>
      <c r="F14" s="136"/>
      <c r="G14" s="129"/>
    </row>
    <row r="15" spans="2:7" s="73" customFormat="1" ht="21" customHeight="1">
      <c r="B15" s="132" t="s">
        <v>16</v>
      </c>
      <c r="C15" s="133"/>
      <c r="D15" s="74" t="e">
        <f t="shared" ref="D15" si="0">(D9-D10)/(D14*6)</f>
        <v>#DIV/0!</v>
      </c>
      <c r="E15" s="74" t="e">
        <f t="shared" ref="E15" si="1">(E9-E10)/(E14*6)</f>
        <v>#DIV/0!</v>
      </c>
      <c r="F15" s="136"/>
      <c r="G15" s="129"/>
    </row>
    <row r="16" spans="2:7" s="73" customFormat="1" ht="21" customHeight="1">
      <c r="B16" s="132" t="s">
        <v>17</v>
      </c>
      <c r="C16" s="133"/>
      <c r="D16" s="74" t="e">
        <f>(D13-D10)/(D14*3)</f>
        <v>#DIV/0!</v>
      </c>
      <c r="E16" s="74" t="e">
        <f t="shared" ref="E16" si="2">(E13-E10)/(E14*3)</f>
        <v>#DIV/0!</v>
      </c>
      <c r="F16" s="136"/>
      <c r="G16" s="129"/>
    </row>
    <row r="17" spans="2:7" s="73" customFormat="1" ht="21" customHeight="1">
      <c r="B17" s="134" t="s">
        <v>18</v>
      </c>
      <c r="C17" s="135"/>
      <c r="D17" s="74" t="e">
        <f>(D9-D13)/(D14*3)</f>
        <v>#DIV/0!</v>
      </c>
      <c r="E17" s="74" t="e">
        <f t="shared" ref="E17" si="3">(E9-E13)/(E14*3)</f>
        <v>#DIV/0!</v>
      </c>
      <c r="F17" s="136"/>
      <c r="G17" s="129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6"/>
      <c r="G18" s="130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2025-10-18T08:42:42Z</dcterms:modified>
</cp:coreProperties>
</file>