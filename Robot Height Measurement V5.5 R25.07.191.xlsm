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CCA1" lockStructure="1"/>
  <bookViews>
    <workbookView xWindow="-120" yWindow="-120" windowWidth="20730" windowHeight="11160" firstSheet="1" activeTab="1"/>
  </bookViews>
  <sheets>
    <sheet name="Coil" sheetId="155" state="hidden" r:id="rId1"/>
    <sheet name="Start" sheetId="2" r:id="rId2"/>
    <sheet name="ListSetupsolder" sheetId="172" state="hidden" r:id="rId3"/>
    <sheet name="ListSetup" sheetId="171" state="hidden" r:id="rId4"/>
    <sheet name="Solder" sheetId="156" state="hidden" r:id="rId5"/>
  </sheets>
  <functionGroups builtInGroupCount="17"/>
  <definedNames>
    <definedName name="_xlnm._FilterDatabase" localSheetId="3" hidden="1">ListSetup!$D$2:$BD$15</definedName>
    <definedName name="_xlnm._FilterDatabase" localSheetId="2" hidden="1">ListSetupsolder!#REF!</definedName>
    <definedName name="_xlnm.Print_Area" localSheetId="4">Solder!$B$2:$G$20</definedName>
  </definedNames>
  <calcPr calcId="145621"/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2" i="2"/>
  <c r="F19" i="156" l="1"/>
  <c r="G19" i="156" l="1"/>
  <c r="D16" i="155"/>
  <c r="D17" i="155"/>
  <c r="E13" i="156"/>
  <c r="E12" i="156"/>
  <c r="E14" i="156"/>
  <c r="E15" i="156" s="1"/>
  <c r="D14" i="156"/>
  <c r="D15" i="156" l="1"/>
  <c r="D13" i="156"/>
  <c r="D12" i="156"/>
  <c r="E11" i="156"/>
  <c r="D11" i="156"/>
  <c r="E16" i="156" l="1"/>
  <c r="E17" i="156"/>
  <c r="D17" i="156"/>
  <c r="D16" i="156"/>
  <c r="D18" i="156" s="1"/>
  <c r="E18" i="156" l="1"/>
  <c r="C9" i="155" l="1"/>
  <c r="G9" i="155"/>
  <c r="D12" i="155"/>
  <c r="E12" i="155"/>
  <c r="F12" i="155"/>
  <c r="H12" i="155"/>
  <c r="I12" i="155"/>
  <c r="J12" i="155"/>
  <c r="D13" i="155"/>
  <c r="E13" i="155"/>
  <c r="F13" i="155"/>
  <c r="F14" i="155" s="1"/>
  <c r="H13" i="155"/>
  <c r="I13" i="155"/>
  <c r="J13" i="155"/>
  <c r="C14" i="155"/>
  <c r="D14" i="155"/>
  <c r="G14" i="155"/>
  <c r="C15" i="155"/>
  <c r="D15" i="155"/>
  <c r="G15" i="155"/>
  <c r="C16" i="155"/>
  <c r="E16" i="155"/>
  <c r="F16" i="155"/>
  <c r="G16" i="155"/>
  <c r="H16" i="155"/>
  <c r="I16" i="155"/>
  <c r="J16" i="155"/>
  <c r="C17" i="155"/>
  <c r="E17" i="155"/>
  <c r="F17" i="155"/>
  <c r="G17" i="155"/>
  <c r="H17" i="155"/>
  <c r="I17" i="155"/>
  <c r="J17" i="155"/>
  <c r="C18" i="155"/>
  <c r="D18" i="155"/>
  <c r="E18" i="155"/>
  <c r="F18" i="155"/>
  <c r="G18" i="155"/>
  <c r="H18" i="155"/>
  <c r="I18" i="155"/>
  <c r="J18" i="155"/>
  <c r="C19" i="155"/>
  <c r="D19" i="155"/>
  <c r="E19" i="155"/>
  <c r="F19" i="155"/>
  <c r="F20" i="155" s="1"/>
  <c r="F23" i="155" s="1"/>
  <c r="G19" i="155"/>
  <c r="G20" i="155" s="1"/>
  <c r="H19" i="155"/>
  <c r="I19" i="155"/>
  <c r="J19" i="155"/>
  <c r="C20" i="155"/>
  <c r="C21" i="155"/>
  <c r="C22" i="155"/>
  <c r="C23" i="155"/>
  <c r="E14" i="155" l="1"/>
  <c r="D20" i="155"/>
  <c r="D23" i="155" s="1"/>
  <c r="F15" i="155"/>
  <c r="D21" i="155"/>
  <c r="F22" i="155"/>
  <c r="F21" i="155"/>
  <c r="E21" i="155"/>
  <c r="H15" i="155"/>
  <c r="H21" i="155"/>
  <c r="I21" i="155"/>
  <c r="D22" i="155"/>
  <c r="I15" i="155"/>
  <c r="I22" i="155"/>
  <c r="J21" i="155"/>
  <c r="G22" i="155"/>
  <c r="G21" i="155"/>
  <c r="G23" i="155" s="1"/>
  <c r="J14" i="155"/>
  <c r="I14" i="155"/>
  <c r="I20" i="155"/>
  <c r="I23" i="155" s="1"/>
  <c r="H20" i="155"/>
  <c r="H23" i="155" s="1"/>
  <c r="H14" i="155"/>
  <c r="H22" i="155"/>
  <c r="J22" i="155"/>
  <c r="J20" i="155"/>
  <c r="J23" i="155" s="1"/>
  <c r="J15" i="155"/>
  <c r="E22" i="155"/>
  <c r="E20" i="155"/>
  <c r="E23" i="155" s="1"/>
  <c r="E15" i="155"/>
</calcChain>
</file>

<file path=xl/comments1.xml><?xml version="1.0" encoding="utf-8"?>
<comments xmlns="http://schemas.openxmlformats.org/spreadsheetml/2006/main">
  <authors>
    <author>DELL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  <comment ref="GY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</commentList>
</comments>
</file>

<file path=xl/sharedStrings.xml><?xml version="1.0" encoding="utf-8"?>
<sst xmlns="http://schemas.openxmlformats.org/spreadsheetml/2006/main" count="786" uniqueCount="502">
  <si>
    <t>Model</t>
  </si>
  <si>
    <t>MAX</t>
  </si>
  <si>
    <t>MIN</t>
  </si>
  <si>
    <t>AVG</t>
  </si>
  <si>
    <t>After</t>
  </si>
  <si>
    <t>TIME</t>
  </si>
  <si>
    <t>Mẫu kiểm tra</t>
  </si>
  <si>
    <t>Vị trí A</t>
  </si>
  <si>
    <t>Vị trí B</t>
  </si>
  <si>
    <t>Vị trí C</t>
  </si>
  <si>
    <t>Vị trí D</t>
  </si>
  <si>
    <t>Spec max</t>
  </si>
  <si>
    <t>Spec min</t>
  </si>
  <si>
    <t>Cận max</t>
  </si>
  <si>
    <t>Cận min</t>
  </si>
  <si>
    <t>STD</t>
  </si>
  <si>
    <t>CP</t>
  </si>
  <si>
    <t>CPL</t>
  </si>
  <si>
    <t>CPU</t>
  </si>
  <si>
    <t>CPK</t>
  </si>
  <si>
    <t xml:space="preserve">Ngày: </t>
  </si>
  <si>
    <t>Before</t>
  </si>
  <si>
    <t>Độ cao của COIL</t>
  </si>
  <si>
    <t>Select_model</t>
  </si>
  <si>
    <t>Select_line</t>
  </si>
  <si>
    <t>Select_Reflow</t>
  </si>
  <si>
    <t>Select_ca</t>
  </si>
  <si>
    <t>Version</t>
  </si>
  <si>
    <t>mount</t>
  </si>
  <si>
    <t>Dispenser</t>
  </si>
  <si>
    <t>nguoi_do</t>
  </si>
  <si>
    <t>Số điểm đo</t>
  </si>
  <si>
    <t>Số coil/1ea</t>
  </si>
  <si>
    <t>Mount Height:</t>
  </si>
  <si>
    <t>Máy Dispenser:</t>
  </si>
  <si>
    <t>Line Mounter:</t>
  </si>
  <si>
    <t>Line Reflow:</t>
  </si>
  <si>
    <t>Ca:</t>
  </si>
  <si>
    <t>Creater</t>
  </si>
  <si>
    <t>Time</t>
  </si>
  <si>
    <t>Lever</t>
  </si>
  <si>
    <t>Password</t>
  </si>
  <si>
    <t>Mode</t>
  </si>
  <si>
    <t>block X</t>
  </si>
  <si>
    <t>block Y</t>
  </si>
  <si>
    <t>5ea Date</t>
  </si>
  <si>
    <t>1 sheet date</t>
  </si>
  <si>
    <t>High offset2</t>
  </si>
  <si>
    <t>High offset3</t>
  </si>
  <si>
    <t>High offset4</t>
  </si>
  <si>
    <t>High offset5</t>
  </si>
  <si>
    <t>CHECK SHEET KIỂM TRA
ĐỘ CAO KEM HÀN CHÂN PAD</t>
  </si>
  <si>
    <t>Lập</t>
  </si>
  <si>
    <t>Kiểm tra</t>
  </si>
  <si>
    <t>Phê duyệt</t>
  </si>
  <si>
    <t>Line:4</t>
  </si>
  <si>
    <t>Ngày:</t>
  </si>
  <si>
    <t>All</t>
  </si>
  <si>
    <t>Ca</t>
  </si>
  <si>
    <t>số điểm đo Pre-solder/1ea</t>
  </si>
  <si>
    <t>số điểm đo linh kiện/1ea</t>
  </si>
  <si>
    <t>Spec Max 1</t>
  </si>
  <si>
    <t>Spec Min 1</t>
  </si>
  <si>
    <t>Spec Max 2</t>
  </si>
  <si>
    <t>Spec Min 2</t>
  </si>
  <si>
    <t>Spec Max 3</t>
  </si>
  <si>
    <t>Spec Min 3</t>
  </si>
  <si>
    <t>Spec Max 4</t>
  </si>
  <si>
    <t>Spec Max 5</t>
  </si>
  <si>
    <t>Spec Min 5</t>
  </si>
  <si>
    <t>Spec Max 6</t>
  </si>
  <si>
    <t>Spec Min 6</t>
  </si>
  <si>
    <t>Spec Max 7</t>
  </si>
  <si>
    <t>Spec Min 7</t>
  </si>
  <si>
    <t>Spec Max 8</t>
  </si>
  <si>
    <t>Spec Min 8</t>
  </si>
  <si>
    <t>Part1</t>
  </si>
  <si>
    <t>Part2</t>
  </si>
  <si>
    <t>Part3</t>
  </si>
  <si>
    <t>Part4</t>
  </si>
  <si>
    <t>Part5</t>
  </si>
  <si>
    <t>Part6</t>
  </si>
  <si>
    <t>Part7</t>
  </si>
  <si>
    <t>Part8</t>
  </si>
  <si>
    <t>Block X</t>
  </si>
  <si>
    <t>Block Y</t>
  </si>
  <si>
    <t>Coil1</t>
  </si>
  <si>
    <t>Coil2</t>
  </si>
  <si>
    <t>Coil3</t>
  </si>
  <si>
    <t>Coil4</t>
  </si>
  <si>
    <t>Coil5</t>
  </si>
  <si>
    <t>Coil6</t>
  </si>
  <si>
    <t>max Coil1</t>
  </si>
  <si>
    <t>max Coil2</t>
  </si>
  <si>
    <t>max Coil3</t>
  </si>
  <si>
    <t>max Coil4</t>
  </si>
  <si>
    <t>max Coil5</t>
  </si>
  <si>
    <t>max Coil6</t>
  </si>
  <si>
    <t>max Coil8</t>
  </si>
  <si>
    <t>max Coil9</t>
  </si>
  <si>
    <t>max Coil10</t>
  </si>
  <si>
    <t>max Coil11</t>
  </si>
  <si>
    <t>max Coil12</t>
  </si>
  <si>
    <t>min Coil2</t>
  </si>
  <si>
    <t>min Coil3</t>
  </si>
  <si>
    <t>min Coil4</t>
  </si>
  <si>
    <t>min Coil5</t>
  </si>
  <si>
    <t>min Coil6</t>
  </si>
  <si>
    <t>min Coil8</t>
  </si>
  <si>
    <t>min Coil9</t>
  </si>
  <si>
    <t>min Coil10</t>
  </si>
  <si>
    <t>min Coil11</t>
  </si>
  <si>
    <t>min Coil12</t>
  </si>
  <si>
    <t>High offset6</t>
  </si>
  <si>
    <t>High offset7</t>
  </si>
  <si>
    <t>High offset8</t>
  </si>
  <si>
    <t>High offset9</t>
  </si>
  <si>
    <t>High offset10</t>
  </si>
  <si>
    <t>High offset11</t>
  </si>
  <si>
    <t>High offset12</t>
  </si>
  <si>
    <t>Coil7</t>
  </si>
  <si>
    <t>Coil8</t>
  </si>
  <si>
    <t>Coil9</t>
  </si>
  <si>
    <t>Coil10</t>
  </si>
  <si>
    <t>Coil11</t>
  </si>
  <si>
    <t>Coil12</t>
  </si>
  <si>
    <t>max Coil7</t>
  </si>
  <si>
    <t>min Coil7</t>
  </si>
  <si>
    <t>High offset1</t>
  </si>
  <si>
    <t>Skip1</t>
  </si>
  <si>
    <t>Skip2</t>
  </si>
  <si>
    <t>Skip3</t>
  </si>
  <si>
    <t>Skip4</t>
  </si>
  <si>
    <t>Skip5</t>
  </si>
  <si>
    <t>Skip6</t>
  </si>
  <si>
    <t>Skip7</t>
  </si>
  <si>
    <t>Skip8</t>
  </si>
  <si>
    <t>Skip9</t>
  </si>
  <si>
    <t>Skip10</t>
  </si>
  <si>
    <t>Skip11</t>
  </si>
  <si>
    <t>Skip12</t>
  </si>
  <si>
    <t>DỮ LIỆU ĐÃ ĐƯỢC LƯU, NHẤN OK ĐỂ LOAD</t>
  </si>
  <si>
    <t>User Name</t>
  </si>
  <si>
    <t>min Coil1</t>
  </si>
  <si>
    <t>A</t>
  </si>
  <si>
    <t>Metter</t>
  </si>
  <si>
    <t>Base</t>
  </si>
  <si>
    <t>Meter</t>
  </si>
  <si>
    <t>Line</t>
  </si>
  <si>
    <t>Reflow</t>
  </si>
  <si>
    <t>Quantity</t>
  </si>
  <si>
    <t>nguoi do</t>
  </si>
  <si>
    <t>Ô trống</t>
  </si>
  <si>
    <t>Mask no</t>
  </si>
  <si>
    <t>1SHEET FPCB</t>
  </si>
  <si>
    <t>SINGLE MODE</t>
  </si>
  <si>
    <t>SO1G71</t>
  </si>
  <si>
    <t>SMT LINE</t>
  </si>
  <si>
    <t>B</t>
  </si>
  <si>
    <t>Reflow SMT</t>
  </si>
  <si>
    <t>Point zero1</t>
  </si>
  <si>
    <t>Point zero2</t>
  </si>
  <si>
    <t>Point zero3</t>
  </si>
  <si>
    <t>Point zero4</t>
  </si>
  <si>
    <t>Point zero5</t>
  </si>
  <si>
    <t>Point zero6</t>
  </si>
  <si>
    <t>Point zero7</t>
  </si>
  <si>
    <t>Point zero8</t>
  </si>
  <si>
    <t>Point zero9</t>
  </si>
  <si>
    <t>Point zero10</t>
  </si>
  <si>
    <t>Point zero11</t>
  </si>
  <si>
    <t>Point zero12</t>
  </si>
  <si>
    <t>Point zero13</t>
  </si>
  <si>
    <t>Point zero14</t>
  </si>
  <si>
    <t>Point zero15</t>
  </si>
  <si>
    <t>Point zero16</t>
  </si>
  <si>
    <t>Point zero17</t>
  </si>
  <si>
    <t>Point zero18</t>
  </si>
  <si>
    <t>Point zero19</t>
  </si>
  <si>
    <t>Point zero20</t>
  </si>
  <si>
    <t>Point zero21</t>
  </si>
  <si>
    <t>Point zero22</t>
  </si>
  <si>
    <t>Point zero23</t>
  </si>
  <si>
    <t>Point zero24</t>
  </si>
  <si>
    <t>Point zero25</t>
  </si>
  <si>
    <t>Point zero26</t>
  </si>
  <si>
    <t>Point zero27</t>
  </si>
  <si>
    <t>Point zero28</t>
  </si>
  <si>
    <t>Point zero29</t>
  </si>
  <si>
    <t>Point zero30</t>
  </si>
  <si>
    <t xml:space="preserve"> 114 118 98 111 104 111 111</t>
  </si>
  <si>
    <t xml:space="preserve"> 66 101 110 106 111 106 116 117 115 98 117 112 115</t>
  </si>
  <si>
    <t xml:space="preserve"> 117 115 118 112 111 104 109 119</t>
  </si>
  <si>
    <t xml:space="preserve"> 109 119 117 115 118 112 111 104</t>
  </si>
  <si>
    <t xml:space="preserve"> 84 117 98 111 101 98 115 101</t>
  </si>
  <si>
    <t xml:space="preserve"> 108 106 111 105 109 119</t>
  </si>
  <si>
    <t xml:space="preserve"> 52 51 57 55 54 53 51 54</t>
  </si>
  <si>
    <t xml:space="preserve"> 117 105 98 106 50 58</t>
  </si>
  <si>
    <t xml:space="preserve"> 86 106 99 108 52 49 49 49</t>
  </si>
  <si>
    <t xml:space="preserve"> 101 118 111 104</t>
  </si>
  <si>
    <t xml:space="preserve"> 70 119 112 105 52 50 49 49</t>
  </si>
  <si>
    <t xml:space="preserve"> 114 118 98 111 111 119</t>
  </si>
  <si>
    <t xml:space="preserve"> 83 119 99 112 52 49 49 49</t>
  </si>
  <si>
    <t xml:space="preserve"> 117 105 98 106 51 49</t>
  </si>
  <si>
    <t xml:space="preserve"> 86 106 99 107 52 50 49 49</t>
  </si>
  <si>
    <t xml:space="preserve"> 117 105 106 111</t>
  </si>
  <si>
    <t xml:space="preserve"> 86 106 108 112 52 49 49 49</t>
  </si>
  <si>
    <t xml:space="preserve"> 108 106 102 111</t>
  </si>
  <si>
    <t xml:space="preserve"> 77 108 104 112 52 50 49 49</t>
  </si>
  <si>
    <t xml:space="preserve"> 117 105 98 111 104</t>
  </si>
  <si>
    <t xml:space="preserve"> 86 106 99 112 105 52 49 49 49</t>
  </si>
  <si>
    <t xml:space="preserve"> 117 106 102 111 111 119</t>
  </si>
  <si>
    <t xml:space="preserve"> 85 106 102 111 116 118 113 113 117 50</t>
  </si>
  <si>
    <t xml:space="preserve"> 85 102 116 117 113 98 116 116 120 112 115 101</t>
  </si>
  <si>
    <t xml:space="preserve"> 113 98 116 116 117 102 116 117</t>
  </si>
  <si>
    <t>Bản vẽ</t>
  </si>
  <si>
    <t>Vị trí đo
(mm)</t>
  </si>
  <si>
    <t>Điểm
2</t>
  </si>
  <si>
    <t>Điểm
1</t>
  </si>
  <si>
    <t>Block
(OK/NG)</t>
  </si>
  <si>
    <t>Block 1</t>
  </si>
  <si>
    <t>Block 2</t>
  </si>
  <si>
    <t>Metal mask:</t>
  </si>
  <si>
    <t>CPK &gt;</t>
  </si>
  <si>
    <t>Over all
(OK/NG)</t>
  </si>
  <si>
    <t>CPK Target</t>
  </si>
  <si>
    <t>Group1 Pad Start</t>
  </si>
  <si>
    <t>Group1 Pad end</t>
  </si>
  <si>
    <t>Group2 Pad Start</t>
  </si>
  <si>
    <t>Group2 Pad end</t>
  </si>
  <si>
    <t>Group3 Pad Start</t>
  </si>
  <si>
    <t>Group3 Pad end</t>
  </si>
  <si>
    <t>Group4 Pad Start</t>
  </si>
  <si>
    <t>Group4 Pad end</t>
  </si>
  <si>
    <t>Group5 Pad Start</t>
  </si>
  <si>
    <t>Group5 Pad end</t>
  </si>
  <si>
    <t>Group6 Pad Start</t>
  </si>
  <si>
    <t>Group6 Pad end</t>
  </si>
  <si>
    <t>Group7 Pad Start</t>
  </si>
  <si>
    <t>Group7 Pad end</t>
  </si>
  <si>
    <t>Group8 Pad Start</t>
  </si>
  <si>
    <t>Group8 Pad end</t>
  </si>
  <si>
    <t>Group9 Pad Start</t>
  </si>
  <si>
    <t>Group9 Pad end</t>
  </si>
  <si>
    <t>Group10 Pad Start</t>
  </si>
  <si>
    <t>Group10 Pad end</t>
  </si>
  <si>
    <t>Group11 Pad Start</t>
  </si>
  <si>
    <t>Group11 Pad end</t>
  </si>
  <si>
    <t>Group12 Pad Start</t>
  </si>
  <si>
    <t>Group12 Pad end</t>
  </si>
  <si>
    <t>Group13 Pad Start</t>
  </si>
  <si>
    <t>Group13 Pad end</t>
  </si>
  <si>
    <t>Group14 Pad Start</t>
  </si>
  <si>
    <t>Group14 Pad end</t>
  </si>
  <si>
    <t>Group15 Pad Start</t>
  </si>
  <si>
    <t>Group15 Pad end</t>
  </si>
  <si>
    <t>Group16 Pad Start</t>
  </si>
  <si>
    <t>Group16 Pad end</t>
  </si>
  <si>
    <t>Group17 Pad Start</t>
  </si>
  <si>
    <t>Group17 Pad end</t>
  </si>
  <si>
    <t>Group18 Pad Start</t>
  </si>
  <si>
    <t>Group18 Pad end</t>
  </si>
  <si>
    <t>Group19 Pad Start</t>
  </si>
  <si>
    <t>Group19 Pad end</t>
  </si>
  <si>
    <t>Group20 Pad Start</t>
  </si>
  <si>
    <t>Group20 Pad end</t>
  </si>
  <si>
    <t>Group21 Pad Start</t>
  </si>
  <si>
    <t>Group21 Pad end</t>
  </si>
  <si>
    <t>Group22 Pad Start</t>
  </si>
  <si>
    <t>Group22 Pad end</t>
  </si>
  <si>
    <t>Group23 Pad Start</t>
  </si>
  <si>
    <t>Group23 Pad end</t>
  </si>
  <si>
    <t>Group24 Pad Start</t>
  </si>
  <si>
    <t>Group24 Pad end</t>
  </si>
  <si>
    <t>Group25 Pad Start</t>
  </si>
  <si>
    <t>Group25 Pad end</t>
  </si>
  <si>
    <t>Group26 Pad Start</t>
  </si>
  <si>
    <t>Group26 Pad end</t>
  </si>
  <si>
    <t>Group27 Pad Start</t>
  </si>
  <si>
    <t>Group27 Pad end</t>
  </si>
  <si>
    <t>Group28 Pad Start</t>
  </si>
  <si>
    <t>Group28 Pad end</t>
  </si>
  <si>
    <t>Group29 Pad Start</t>
  </si>
  <si>
    <t>Group29 Pad end</t>
  </si>
  <si>
    <t>Group30 Pad Start</t>
  </si>
  <si>
    <t>Group30 Pad end</t>
  </si>
  <si>
    <t>Group1 pcb height</t>
  </si>
  <si>
    <t>Group2 pcb height</t>
  </si>
  <si>
    <t>Group3 pcb height</t>
  </si>
  <si>
    <t>Group4 pcb height</t>
  </si>
  <si>
    <t>Group5 pcb height</t>
  </si>
  <si>
    <t>Group6 pcb height</t>
  </si>
  <si>
    <t>Group7 pcb height</t>
  </si>
  <si>
    <t>Group8 pcb height</t>
  </si>
  <si>
    <t>Group9 pcb height</t>
  </si>
  <si>
    <t>Group10 pcb height</t>
  </si>
  <si>
    <t>Group11 pcb height</t>
  </si>
  <si>
    <t>Group12 pcb height</t>
  </si>
  <si>
    <t>Group13 pcb height</t>
  </si>
  <si>
    <t>Group14 pcb height</t>
  </si>
  <si>
    <t>Group15 pcb height</t>
  </si>
  <si>
    <t>Group16 pcb height</t>
  </si>
  <si>
    <t>Group17 pcb height</t>
  </si>
  <si>
    <t>Group18 pcb height</t>
  </si>
  <si>
    <t>Group19 pcb height</t>
  </si>
  <si>
    <t>Group20 pcb height</t>
  </si>
  <si>
    <t>Group21 pcb height</t>
  </si>
  <si>
    <t>Group22 pcb height</t>
  </si>
  <si>
    <t>Group23 pcb height</t>
  </si>
  <si>
    <t>Group24 pcb height</t>
  </si>
  <si>
    <t>Group25 pcb height</t>
  </si>
  <si>
    <t>Group26 pcb height</t>
  </si>
  <si>
    <t>Group27 pcb height</t>
  </si>
  <si>
    <t>Group28 pcb height</t>
  </si>
  <si>
    <t>Group29 pcb height</t>
  </si>
  <si>
    <t>Group30 pcb height</t>
  </si>
  <si>
    <t>FPCB Thickness</t>
  </si>
  <si>
    <t>Group1 Spec min</t>
  </si>
  <si>
    <t>Group1 Spec max</t>
  </si>
  <si>
    <t>Group2 Spec min</t>
  </si>
  <si>
    <t>Group2 Spec max</t>
  </si>
  <si>
    <t>Group3 Spec min</t>
  </si>
  <si>
    <t>Group3 Spec max</t>
  </si>
  <si>
    <t>Group4 Spec min</t>
  </si>
  <si>
    <t>Group4 Spec max</t>
  </si>
  <si>
    <t>Group5 Spec min</t>
  </si>
  <si>
    <t>Group5 Spec max</t>
  </si>
  <si>
    <t>Group6 Spec min</t>
  </si>
  <si>
    <t>Group6 Spec max</t>
  </si>
  <si>
    <t>Group7 Spec min</t>
  </si>
  <si>
    <t>Group7 Spec max</t>
  </si>
  <si>
    <t>Group8 Spec min</t>
  </si>
  <si>
    <t>Group8 Spec max</t>
  </si>
  <si>
    <t>Group9 Spec min</t>
  </si>
  <si>
    <t>Group9 Spec max</t>
  </si>
  <si>
    <t>Group10Spec min</t>
  </si>
  <si>
    <t>Group10Spec max</t>
  </si>
  <si>
    <t>Group11Spec min</t>
  </si>
  <si>
    <t>Group11Spec max</t>
  </si>
  <si>
    <t>Group12Spec min</t>
  </si>
  <si>
    <t>Group12Spec max</t>
  </si>
  <si>
    <t>Group13Spec min</t>
  </si>
  <si>
    <t>Group13Spec max</t>
  </si>
  <si>
    <t>Group14Spec min</t>
  </si>
  <si>
    <t>Group14Spec max</t>
  </si>
  <si>
    <t>Group15Spec min</t>
  </si>
  <si>
    <t>Group15Spec max</t>
  </si>
  <si>
    <t>Group16Spec min</t>
  </si>
  <si>
    <t>Group16Spec max</t>
  </si>
  <si>
    <t>Group17Spec min</t>
  </si>
  <si>
    <t>Group17Spec max</t>
  </si>
  <si>
    <t>Group18Spec min</t>
  </si>
  <si>
    <t>Group18Spec max</t>
  </si>
  <si>
    <t>Group19Spec min</t>
  </si>
  <si>
    <t>Group19Spec max</t>
  </si>
  <si>
    <t>Group20Spec min</t>
  </si>
  <si>
    <t>Group20Spec max</t>
  </si>
  <si>
    <t>Group21Spec min</t>
  </si>
  <si>
    <t>Group21Spec max</t>
  </si>
  <si>
    <t>Group22Spec min</t>
  </si>
  <si>
    <t>Group22Spec max</t>
  </si>
  <si>
    <t>Group23Spec min</t>
  </si>
  <si>
    <t>Group23Spec max</t>
  </si>
  <si>
    <t>Group24Spec min</t>
  </si>
  <si>
    <t>Group24Spec max</t>
  </si>
  <si>
    <t>Group25Spec min</t>
  </si>
  <si>
    <t>Group25Spec max</t>
  </si>
  <si>
    <t>Group26Spec min</t>
  </si>
  <si>
    <t>Group26Spec max</t>
  </si>
  <si>
    <t>Group27Spec min</t>
  </si>
  <si>
    <t>Group27Spec max</t>
  </si>
  <si>
    <t>Group28Spec min</t>
  </si>
  <si>
    <t>Group28Spec max</t>
  </si>
  <si>
    <t>Group29Spec min</t>
  </si>
  <si>
    <t>Group29Spec max</t>
  </si>
  <si>
    <t>Group30Spec min</t>
  </si>
  <si>
    <t>Group30Spec max</t>
  </si>
  <si>
    <t>Height option</t>
  </si>
  <si>
    <t xml:space="preserve"> SZ2980Z 2D</t>
  </si>
  <si>
    <t>kinhlv</t>
  </si>
  <si>
    <t>Z</t>
  </si>
  <si>
    <t>SZ2980 N02</t>
  </si>
  <si>
    <t>Y1</t>
  </si>
  <si>
    <t>X1</t>
  </si>
  <si>
    <t>Y2</t>
  </si>
  <si>
    <t>X2</t>
  </si>
  <si>
    <t>SO1G73 OIS</t>
  </si>
  <si>
    <t>SO1C2F B7</t>
  </si>
  <si>
    <t>Z1</t>
  </si>
  <si>
    <t>Z2</t>
  </si>
  <si>
    <t>SO1923</t>
  </si>
  <si>
    <t>X</t>
  </si>
  <si>
    <t>Y</t>
  </si>
  <si>
    <t>SO1C2ED</t>
  </si>
  <si>
    <t>SO1C2ED XY</t>
  </si>
  <si>
    <t>HBM3S52 975A01</t>
  </si>
  <si>
    <t>OIS</t>
  </si>
  <si>
    <t>OIS1</t>
  </si>
  <si>
    <t>OIS2</t>
  </si>
  <si>
    <t>SO1C81 1D Z</t>
  </si>
  <si>
    <t>quangnn</t>
  </si>
  <si>
    <t>IRIS1</t>
  </si>
  <si>
    <t>IRIS2</t>
  </si>
  <si>
    <t>DUAL MODE</t>
  </si>
  <si>
    <t xml:space="preserve"> 27-Dec-2023</t>
  </si>
  <si>
    <t xml:space="preserve"> 26-Dec-2023</t>
  </si>
  <si>
    <t>Date Set Zero</t>
  </si>
  <si>
    <t>COIL1 pcb height</t>
  </si>
  <si>
    <t>COIL3 pcb height</t>
  </si>
  <si>
    <t>COIL4 pcb height</t>
  </si>
  <si>
    <t>COIL5 pcb height</t>
  </si>
  <si>
    <t>COIL6 pcb height</t>
  </si>
  <si>
    <t>COIL7 pcb height</t>
  </si>
  <si>
    <t>COIL8 pcb height</t>
  </si>
  <si>
    <t>COIL9 pcb height</t>
  </si>
  <si>
    <t>COIL1 0pcb height</t>
  </si>
  <si>
    <t>COIL11 pcb height</t>
  </si>
  <si>
    <t>COIL12 pcb height</t>
  </si>
  <si>
    <t>COIL2pcb height</t>
  </si>
  <si>
    <t>Số group zero/1ea</t>
  </si>
  <si>
    <t>IRIS</t>
  </si>
  <si>
    <t>Test2_245</t>
  </si>
  <si>
    <t>SZ2771 KT</t>
  </si>
  <si>
    <t>Only solder</t>
  </si>
  <si>
    <t xml:space="preserve"> 07-Oct-2024</t>
  </si>
  <si>
    <t>SZ2920 KT</t>
  </si>
  <si>
    <t>SZ2710 KT</t>
  </si>
  <si>
    <t>SZ1B40 KT</t>
  </si>
  <si>
    <t xml:space="preserve"> 29-Sep-2024</t>
  </si>
  <si>
    <t>SZ1B10B KT</t>
  </si>
  <si>
    <t>SZ2711D KT</t>
  </si>
  <si>
    <t xml:space="preserve"> 28-Sep-2024</t>
  </si>
  <si>
    <t>SZ3721B KT</t>
  </si>
  <si>
    <t xml:space="preserve"> 27-Aug-2024</t>
  </si>
  <si>
    <t>SZ2951 KT</t>
  </si>
  <si>
    <t xml:space="preserve"> 09-Aug-2024</t>
  </si>
  <si>
    <t>SO1923 KIMTO</t>
  </si>
  <si>
    <t xml:space="preserve"> 20-Jul-2024</t>
  </si>
  <si>
    <t>SZ2981 KT</t>
  </si>
  <si>
    <t xml:space="preserve"> 06-Jul-2024</t>
  </si>
  <si>
    <t>SZ2950 KIMTO</t>
  </si>
  <si>
    <t xml:space="preserve"> 10-Jul-2024</t>
  </si>
  <si>
    <t>SO1C2E KIM TO</t>
  </si>
  <si>
    <t xml:space="preserve"> 01-Apr-2024</t>
  </si>
  <si>
    <t>SO1C82 KT</t>
  </si>
  <si>
    <t>Fpcb+solder</t>
  </si>
  <si>
    <t xml:space="preserve"> 05-Jul-2024</t>
  </si>
  <si>
    <t>SO1G73 IRIS</t>
  </si>
  <si>
    <t>SO1G73 SLIT</t>
  </si>
  <si>
    <t>SO1G74</t>
  </si>
  <si>
    <t xml:space="preserve"> 29-Jun-2024</t>
  </si>
  <si>
    <t>SC1G74 KIMTO</t>
  </si>
  <si>
    <t>SO3560 KIM TO</t>
  </si>
  <si>
    <t xml:space="preserve"> 03-Jun-2024</t>
  </si>
  <si>
    <t>SO3560</t>
  </si>
  <si>
    <t xml:space="preserve"> 02-May-2024</t>
  </si>
  <si>
    <t>SO1C81 IRIS KIMTO</t>
  </si>
  <si>
    <t xml:space="preserve"> 03-Apr-2024</t>
  </si>
  <si>
    <t>SO1G73 SLIT KIMTO</t>
  </si>
  <si>
    <t>SI2880 KT</t>
  </si>
  <si>
    <t xml:space="preserve"> 02-Apr-2024</t>
  </si>
  <si>
    <t>SZ2981 N02</t>
  </si>
  <si>
    <t>SZ2920 N09</t>
  </si>
  <si>
    <t>Z3</t>
  </si>
  <si>
    <t>SZ2771 V02</t>
  </si>
  <si>
    <t>SZ2711D N10</t>
  </si>
  <si>
    <t>SZ1B10B N20</t>
  </si>
  <si>
    <t>SZ1B10 N20 Z1D</t>
  </si>
  <si>
    <t>SZ1B40 C04</t>
  </si>
  <si>
    <t>SO1CD1 V05</t>
  </si>
  <si>
    <t>SO3560 N05</t>
  </si>
  <si>
    <t>SZ2680 N02</t>
  </si>
  <si>
    <t>SZ2920 P09</t>
  </si>
  <si>
    <t>SO1CD1 V05 Z</t>
  </si>
  <si>
    <t>SO1C82 V03</t>
  </si>
  <si>
    <t>SO3561 R01</t>
  </si>
  <si>
    <t>SZ1B40 C03</t>
  </si>
  <si>
    <t>SZ2920 N09 AF</t>
  </si>
  <si>
    <t>SZ2710 N08</t>
  </si>
  <si>
    <t>SZ3721B N02A</t>
  </si>
  <si>
    <t>SZ3800 N07</t>
  </si>
  <si>
    <t>SO1C03 B01</t>
  </si>
  <si>
    <t>SO1G74 B00</t>
  </si>
  <si>
    <t>HBM3A54 B00</t>
  </si>
  <si>
    <t>SZ1B10B N00</t>
  </si>
  <si>
    <t>SZ1B10B X N20</t>
  </si>
  <si>
    <t>SZ3611 N01</t>
  </si>
  <si>
    <t>SZ1B10 N17</t>
  </si>
  <si>
    <t>OK</t>
  </si>
  <si>
    <t>Test</t>
  </si>
  <si>
    <t>Photon VINA CO.,LTD</t>
  </si>
  <si>
    <t xml:space="preserve">
Photon VINA CO.,LTD</t>
  </si>
  <si>
    <t xml:space="preserve"> 18-Jun-2025</t>
  </si>
  <si>
    <t>V</t>
  </si>
  <si>
    <t>Số PCB/1Sheet</t>
  </si>
  <si>
    <t xml:space="preserve"> 14-Jul-2025</t>
  </si>
  <si>
    <t xml:space="preserve"> 80 73 88 53 50 114 102 115</t>
  </si>
  <si>
    <t xml:space="preserve"> 85 70 84 85</t>
  </si>
  <si>
    <t xml:space="preserve"> 57 56 55 54 53 52 51 50</t>
  </si>
  <si>
    <t>COIL BAR CHECK</t>
  </si>
  <si>
    <t xml:space="preserve"> 19-Jul-2025</t>
  </si>
  <si>
    <t xml:space="preserve"> 19-Jul-2025 10 37 17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</si>
</sst>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0000\-0000"/>
    <numFmt numFmtId="166" formatCode="m/d/yy\ h:mm;@"/>
    <numFmt numFmtId="167" formatCode="[$-409]d\-mmm\-yy;@"/>
  </numFmts>
  <fonts count="39">
    <font>
      <sz val="11"/>
      <color theme="1"/>
      <name val="Calibri"/>
      <family val="3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3"/>
      <charset val="129"/>
      <scheme val="minor"/>
    </font>
    <font>
      <sz val="11"/>
      <name val="돋움"/>
      <family val="3"/>
      <charset val="129"/>
    </font>
    <font>
      <b/>
      <sz val="12"/>
      <name val="Times New Roman"/>
      <family val="1"/>
    </font>
    <font>
      <sz val="9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2"/>
      <name val="Times New Roman"/>
      <family val="1"/>
    </font>
    <font>
      <sz val="11"/>
      <name val="Times New Roman"/>
      <family val="1"/>
    </font>
    <font>
      <sz val="12"/>
      <color indexed="24"/>
      <name val="바탕체"/>
      <family val="1"/>
      <charset val="129"/>
    </font>
    <font>
      <b/>
      <sz val="16"/>
      <name val="Times New Roman"/>
      <family val="1"/>
    </font>
    <font>
      <sz val="11"/>
      <color theme="0"/>
      <name val="Calibri"/>
      <family val="3"/>
      <charset val="129"/>
      <scheme val="minor"/>
    </font>
    <font>
      <sz val="10"/>
      <name val="Arial"/>
      <family val="2"/>
    </font>
    <font>
      <sz val="11"/>
      <color theme="1"/>
      <name val="Malgun Gothic"/>
      <family val="2"/>
    </font>
    <font>
      <b/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10"/>
      <color theme="1"/>
      <name val="Malgun Gothic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8"/>
      <name val="Times New Roman"/>
      <family val="1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theme="7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0">
    <xf numFmtId="0" fontId="0" fillId="0" borderId="0">
      <alignment vertical="center"/>
    </xf>
    <xf numFmtId="0" fontId="17" fillId="0" borderId="0">
      <alignment vertical="center"/>
    </xf>
    <xf numFmtId="0" fontId="18" fillId="0" borderId="0"/>
    <xf numFmtId="0" fontId="16" fillId="0" borderId="0"/>
    <xf numFmtId="0" fontId="15" fillId="0" borderId="0"/>
    <xf numFmtId="0" fontId="18" fillId="0" borderId="0">
      <alignment vertical="center"/>
    </xf>
    <xf numFmtId="3" fontId="27" fillId="0" borderId="0" applyFont="0" applyFill="0" applyBorder="0" applyAlignment="0" applyProtection="0"/>
    <xf numFmtId="0" fontId="14" fillId="0" borderId="0"/>
    <xf numFmtId="0" fontId="13" fillId="0" borderId="0"/>
    <xf numFmtId="0" fontId="13" fillId="0" borderId="0"/>
    <xf numFmtId="0" fontId="12" fillId="0" borderId="0"/>
    <xf numFmtId="0" fontId="11" fillId="0" borderId="0"/>
    <xf numFmtId="0" fontId="30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143">
    <xf numFmtId="0" fontId="0" fillId="0" borderId="0" xfId="0">
      <alignment vertical="center"/>
    </xf>
    <xf numFmtId="164" fontId="22" fillId="3" borderId="13" xfId="5" applyNumberFormat="1" applyFont="1" applyFill="1" applyBorder="1" applyAlignment="1">
      <alignment horizontal="center" vertical="center" wrapText="1" shrinkToFit="1"/>
    </xf>
    <xf numFmtId="0" fontId="22" fillId="3" borderId="12" xfId="5" applyFont="1" applyFill="1" applyBorder="1" applyAlignment="1">
      <alignment horizontal="center" vertical="center" wrapText="1" shrinkToFit="1"/>
    </xf>
    <xf numFmtId="0" fontId="22" fillId="3" borderId="4" xfId="5" applyFont="1" applyFill="1" applyBorder="1" applyAlignment="1">
      <alignment horizontal="center" vertical="center" wrapText="1" shrinkToFit="1"/>
    </xf>
    <xf numFmtId="164" fontId="22" fillId="3" borderId="1" xfId="5" applyNumberFormat="1" applyFont="1" applyFill="1" applyBorder="1" applyAlignment="1">
      <alignment horizontal="center" vertical="center" wrapText="1" shrinkToFit="1"/>
    </xf>
    <xf numFmtId="164" fontId="22" fillId="3" borderId="14" xfId="5" applyNumberFormat="1" applyFont="1" applyFill="1" applyBorder="1" applyAlignment="1">
      <alignment horizontal="center" vertical="center" wrapText="1" shrinkToFit="1"/>
    </xf>
    <xf numFmtId="164" fontId="22" fillId="3" borderId="6" xfId="5" applyNumberFormat="1" applyFont="1" applyFill="1" applyBorder="1" applyAlignment="1">
      <alignment horizontal="center" vertical="center" wrapText="1" shrinkToFit="1"/>
    </xf>
    <xf numFmtId="164" fontId="22" fillId="3" borderId="15" xfId="5" applyNumberFormat="1" applyFont="1" applyFill="1" applyBorder="1" applyAlignment="1">
      <alignment horizontal="center" vertical="center" wrapText="1" shrinkToFit="1"/>
    </xf>
    <xf numFmtId="164" fontId="22" fillId="3" borderId="36" xfId="5" applyNumberFormat="1" applyFont="1" applyFill="1" applyBorder="1" applyAlignment="1">
      <alignment horizontal="center" vertical="center" wrapText="1" shrinkToFit="1"/>
    </xf>
    <xf numFmtId="0" fontId="22" fillId="3" borderId="1" xfId="5" applyFont="1" applyFill="1" applyBorder="1" applyAlignment="1">
      <alignment horizontal="center" vertical="center" wrapText="1" shrinkToFit="1"/>
    </xf>
    <xf numFmtId="0" fontId="22" fillId="3" borderId="13" xfId="5" applyFont="1" applyFill="1" applyBorder="1" applyAlignment="1">
      <alignment horizontal="center" vertical="center" wrapText="1" shrinkToFit="1"/>
    </xf>
    <xf numFmtId="0" fontId="22" fillId="3" borderId="19" xfId="5" applyFont="1" applyFill="1" applyBorder="1" applyAlignment="1">
      <alignment horizontal="center" vertical="center" wrapText="1" shrinkToFit="1"/>
    </xf>
    <xf numFmtId="0" fontId="20" fillId="3" borderId="17" xfId="5" applyFont="1" applyFill="1" applyBorder="1" applyAlignment="1">
      <alignment horizontal="center" vertical="center" wrapText="1"/>
    </xf>
    <xf numFmtId="0" fontId="20" fillId="3" borderId="25" xfId="5" applyFont="1" applyFill="1" applyBorder="1" applyAlignment="1">
      <alignment horizontal="center" vertical="center" wrapText="1"/>
    </xf>
    <xf numFmtId="0" fontId="25" fillId="6" borderId="35" xfId="5" applyFont="1" applyFill="1" applyBorder="1" applyAlignment="1">
      <alignment horizontal="center" vertical="center"/>
    </xf>
    <xf numFmtId="0" fontId="25" fillId="6" borderId="21" xfId="5" applyFont="1" applyFill="1" applyBorder="1" applyAlignment="1">
      <alignment horizontal="center" vertical="center"/>
    </xf>
    <xf numFmtId="164" fontId="26" fillId="6" borderId="22" xfId="5" applyNumberFormat="1" applyFont="1" applyFill="1" applyBorder="1" applyAlignment="1">
      <alignment horizontal="center" vertical="center"/>
    </xf>
    <xf numFmtId="164" fontId="26" fillId="6" borderId="23" xfId="5" applyNumberFormat="1" applyFont="1" applyFill="1" applyBorder="1" applyAlignment="1">
      <alignment horizontal="center" vertical="center"/>
    </xf>
    <xf numFmtId="164" fontId="26" fillId="6" borderId="24" xfId="5" applyNumberFormat="1" applyFont="1" applyFill="1" applyBorder="1" applyAlignment="1">
      <alignment horizontal="center" vertical="center"/>
    </xf>
    <xf numFmtId="164" fontId="0" fillId="0" borderId="0" xfId="0" applyNumberFormat="1">
      <alignment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Protection="1">
      <alignment vertical="center"/>
      <protection hidden="1"/>
    </xf>
    <xf numFmtId="2" fontId="0" fillId="0" borderId="0" xfId="0" applyNumberFormat="1">
      <alignment vertical="center"/>
    </xf>
    <xf numFmtId="165" fontId="0" fillId="0" borderId="0" xfId="0" applyNumberFormat="1">
      <alignment vertical="center"/>
    </xf>
    <xf numFmtId="0" fontId="29" fillId="0" borderId="0" xfId="0" applyFont="1">
      <alignment vertical="center"/>
    </xf>
    <xf numFmtId="164" fontId="29" fillId="4" borderId="0" xfId="0" applyNumberFormat="1" applyFont="1" applyFill="1">
      <alignment vertical="center"/>
    </xf>
    <xf numFmtId="0" fontId="29" fillId="4" borderId="0" xfId="0" applyFont="1" applyFill="1">
      <alignment vertical="center"/>
    </xf>
    <xf numFmtId="0" fontId="29" fillId="4" borderId="0" xfId="0" applyFont="1" applyFill="1" applyAlignment="1">
      <alignment horizontal="center" vertical="center"/>
    </xf>
    <xf numFmtId="167" fontId="29" fillId="0" borderId="0" xfId="0" applyNumberFormat="1" applyFont="1">
      <alignment vertical="center"/>
    </xf>
    <xf numFmtId="0" fontId="24" fillId="0" borderId="1" xfId="0" applyFont="1" applyBorder="1" applyAlignment="1">
      <alignment vertical="center" wrapText="1"/>
    </xf>
    <xf numFmtId="0" fontId="24" fillId="0" borderId="1" xfId="0" applyFont="1" applyBorder="1" applyAlignment="1" applyProtection="1">
      <alignment horizontal="left" vertical="center" wrapText="1"/>
      <protection locked="0"/>
    </xf>
    <xf numFmtId="0" fontId="8" fillId="0" borderId="0" xfId="15"/>
    <xf numFmtId="164" fontId="24" fillId="2" borderId="41" xfId="15" applyNumberFormat="1" applyFont="1" applyFill="1" applyBorder="1" applyAlignment="1">
      <alignment horizontal="center" vertical="center"/>
    </xf>
    <xf numFmtId="164" fontId="24" fillId="2" borderId="23" xfId="15" applyNumberFormat="1" applyFont="1" applyFill="1" applyBorder="1" applyAlignment="1">
      <alignment horizontal="center" vertical="center"/>
    </xf>
    <xf numFmtId="164" fontId="24" fillId="2" borderId="40" xfId="15" applyNumberFormat="1" applyFont="1" applyFill="1" applyBorder="1" applyAlignment="1">
      <alignment horizontal="center" vertical="center"/>
    </xf>
    <xf numFmtId="164" fontId="24" fillId="2" borderId="42" xfId="15" applyNumberFormat="1" applyFont="1" applyFill="1" applyBorder="1" applyAlignment="1">
      <alignment horizontal="center" vertical="center"/>
    </xf>
    <xf numFmtId="164" fontId="24" fillId="2" borderId="39" xfId="15" applyNumberFormat="1" applyFont="1" applyFill="1" applyBorder="1" applyAlignment="1">
      <alignment horizontal="center" vertical="center"/>
    </xf>
    <xf numFmtId="0" fontId="23" fillId="5" borderId="18" xfId="15" applyFont="1" applyFill="1" applyBorder="1" applyAlignment="1">
      <alignment horizontal="center" vertical="center"/>
    </xf>
    <xf numFmtId="164" fontId="24" fillId="2" borderId="16" xfId="15" applyNumberFormat="1" applyFont="1" applyFill="1" applyBorder="1" applyAlignment="1">
      <alignment horizontal="center" vertical="center"/>
    </xf>
    <xf numFmtId="164" fontId="24" fillId="2" borderId="1" xfId="15" applyNumberFormat="1" applyFont="1" applyFill="1" applyBorder="1" applyAlignment="1">
      <alignment horizontal="center" vertical="center"/>
    </xf>
    <xf numFmtId="164" fontId="24" fillId="2" borderId="3" xfId="15" applyNumberFormat="1" applyFont="1" applyFill="1" applyBorder="1" applyAlignment="1">
      <alignment horizontal="center" vertical="center"/>
    </xf>
    <xf numFmtId="164" fontId="24" fillId="2" borderId="37" xfId="15" applyNumberFormat="1" applyFont="1" applyFill="1" applyBorder="1" applyAlignment="1">
      <alignment horizontal="center" vertical="center"/>
    </xf>
    <xf numFmtId="164" fontId="24" fillId="2" borderId="17" xfId="15" applyNumberFormat="1" applyFont="1" applyFill="1" applyBorder="1" applyAlignment="1">
      <alignment horizontal="center" vertical="center"/>
    </xf>
    <xf numFmtId="0" fontId="23" fillId="5" borderId="17" xfId="15" applyFont="1" applyFill="1" applyBorder="1" applyAlignment="1">
      <alignment horizontal="center" vertical="center"/>
    </xf>
    <xf numFmtId="164" fontId="24" fillId="2" borderId="19" xfId="15" applyNumberFormat="1" applyFont="1" applyFill="1" applyBorder="1" applyAlignment="1">
      <alignment horizontal="center" vertical="center"/>
    </xf>
    <xf numFmtId="164" fontId="24" fillId="2" borderId="2" xfId="15" applyNumberFormat="1" applyFont="1" applyFill="1" applyBorder="1" applyAlignment="1">
      <alignment horizontal="center" vertical="center"/>
    </xf>
    <xf numFmtId="164" fontId="24" fillId="2" borderId="5" xfId="15" applyNumberFormat="1" applyFont="1" applyFill="1" applyBorder="1" applyAlignment="1">
      <alignment horizontal="center" vertical="center"/>
    </xf>
    <xf numFmtId="164" fontId="24" fillId="2" borderId="38" xfId="15" applyNumberFormat="1" applyFont="1" applyFill="1" applyBorder="1" applyAlignment="1">
      <alignment horizontal="center" vertical="center"/>
    </xf>
    <xf numFmtId="164" fontId="24" fillId="2" borderId="18" xfId="15" applyNumberFormat="1" applyFont="1" applyFill="1" applyBorder="1" applyAlignment="1">
      <alignment horizontal="center" vertical="center"/>
    </xf>
    <xf numFmtId="164" fontId="24" fillId="2" borderId="13" xfId="15" applyNumberFormat="1" applyFont="1" applyFill="1" applyBorder="1" applyAlignment="1">
      <alignment horizontal="center" vertical="center"/>
    </xf>
    <xf numFmtId="164" fontId="24" fillId="2" borderId="12" xfId="15" applyNumberFormat="1" applyFont="1" applyFill="1" applyBorder="1" applyAlignment="1">
      <alignment horizontal="center" vertical="center"/>
    </xf>
    <xf numFmtId="0" fontId="23" fillId="5" borderId="25" xfId="15" applyFont="1" applyFill="1" applyBorder="1" applyAlignment="1">
      <alignment horizontal="center" vertical="center"/>
    </xf>
    <xf numFmtId="0" fontId="19" fillId="0" borderId="34" xfId="15" applyFont="1" applyBorder="1" applyAlignment="1">
      <alignment vertical="center" wrapText="1"/>
    </xf>
    <xf numFmtId="0" fontId="19" fillId="0" borderId="33" xfId="15" applyFont="1" applyBorder="1" applyAlignment="1">
      <alignment vertical="center" wrapText="1"/>
    </xf>
    <xf numFmtId="0" fontId="19" fillId="0" borderId="32" xfId="15" applyFont="1" applyBorder="1" applyAlignment="1">
      <alignment vertical="center" wrapText="1"/>
    </xf>
    <xf numFmtId="0" fontId="19" fillId="0" borderId="10" xfId="15" applyFont="1" applyBorder="1" applyAlignment="1">
      <alignment horizontal="center" vertical="center" wrapText="1"/>
    </xf>
    <xf numFmtId="0" fontId="19" fillId="0" borderId="26" xfId="15" applyFont="1" applyBorder="1" applyAlignment="1">
      <alignment vertical="center" wrapText="1"/>
    </xf>
    <xf numFmtId="0" fontId="19" fillId="0" borderId="27" xfId="15" applyFont="1" applyBorder="1" applyAlignment="1">
      <alignment vertical="center" wrapText="1"/>
    </xf>
    <xf numFmtId="0" fontId="19" fillId="0" borderId="28" xfId="15" applyFont="1" applyBorder="1" applyAlignment="1">
      <alignment vertical="center" wrapText="1"/>
    </xf>
    <xf numFmtId="0" fontId="19" fillId="0" borderId="29" xfId="15" applyFont="1" applyBorder="1" applyAlignment="1">
      <alignment horizontal="center" vertical="top" wrapText="1"/>
    </xf>
    <xf numFmtId="0" fontId="19" fillId="0" borderId="30" xfId="15" applyFont="1" applyBorder="1" applyAlignment="1">
      <alignment vertical="center" wrapText="1"/>
    </xf>
    <xf numFmtId="0" fontId="19" fillId="0" borderId="0" xfId="15" applyFont="1" applyAlignment="1">
      <alignment vertical="center" wrapText="1"/>
    </xf>
    <xf numFmtId="0" fontId="19" fillId="0" borderId="20" xfId="15" applyFont="1" applyBorder="1" applyAlignment="1">
      <alignment vertical="center" wrapText="1"/>
    </xf>
    <xf numFmtId="0" fontId="19" fillId="0" borderId="31" xfId="15" applyFont="1" applyBorder="1" applyAlignment="1">
      <alignment horizontal="center" wrapText="1"/>
    </xf>
    <xf numFmtId="14" fontId="19" fillId="0" borderId="31" xfId="15" applyNumberFormat="1" applyFont="1" applyBorder="1" applyAlignment="1">
      <alignment horizontal="center" vertical="top" wrapText="1"/>
    </xf>
    <xf numFmtId="0" fontId="19" fillId="0" borderId="9" xfId="15" applyFont="1" applyBorder="1" applyAlignment="1">
      <alignment vertical="center" wrapText="1"/>
    </xf>
    <xf numFmtId="0" fontId="19" fillId="0" borderId="8" xfId="15" applyFont="1" applyBorder="1" applyAlignment="1">
      <alignment vertical="center" wrapText="1"/>
    </xf>
    <xf numFmtId="0" fontId="19" fillId="0" borderId="7" xfId="15" applyFont="1" applyBorder="1" applyAlignment="1">
      <alignment vertical="center" wrapText="1"/>
    </xf>
    <xf numFmtId="0" fontId="19" fillId="0" borderId="11" xfId="15" applyFont="1" applyBorder="1" applyAlignment="1">
      <alignment horizontal="center" wrapText="1"/>
    </xf>
    <xf numFmtId="0" fontId="28" fillId="0" borderId="34" xfId="15" applyFont="1" applyBorder="1" applyAlignment="1">
      <alignment vertical="center" wrapText="1"/>
    </xf>
    <xf numFmtId="0" fontId="28" fillId="0" borderId="33" xfId="15" applyFont="1" applyBorder="1" applyAlignment="1">
      <alignment vertical="center" wrapText="1"/>
    </xf>
    <xf numFmtId="0" fontId="24" fillId="0" borderId="1" xfId="0" applyFont="1" applyBorder="1" applyAlignment="1">
      <alignment horizontal="left" vertical="center" wrapText="1"/>
    </xf>
    <xf numFmtId="0" fontId="31" fillId="0" borderId="0" xfId="0" applyFont="1" applyAlignment="1"/>
    <xf numFmtId="164" fontId="32" fillId="7" borderId="1" xfId="0" applyNumberFormat="1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164" fontId="33" fillId="0" borderId="1" xfId="0" applyNumberFormat="1" applyFont="1" applyBorder="1" applyAlignment="1">
      <alignment horizontal="center" vertical="center" wrapText="1"/>
    </xf>
    <xf numFmtId="0" fontId="33" fillId="0" borderId="1" xfId="0" applyFont="1" applyBorder="1" applyAlignment="1">
      <alignment vertical="center" wrapText="1"/>
    </xf>
    <xf numFmtId="16" fontId="33" fillId="0" borderId="1" xfId="0" applyNumberFormat="1" applyFont="1" applyBorder="1" applyAlignment="1">
      <alignment horizontal="center" vertical="center" wrapText="1"/>
    </xf>
    <xf numFmtId="0" fontId="32" fillId="9" borderId="17" xfId="0" applyFont="1" applyFill="1" applyBorder="1" applyAlignment="1">
      <alignment horizontal="right" vertical="center"/>
    </xf>
    <xf numFmtId="2" fontId="32" fillId="9" borderId="4" xfId="0" applyNumberFormat="1" applyFont="1" applyFill="1" applyBorder="1" applyAlignment="1">
      <alignment horizontal="left" vertical="center"/>
    </xf>
    <xf numFmtId="164" fontId="34" fillId="8" borderId="1" xfId="0" applyNumberFormat="1" applyFont="1" applyFill="1" applyBorder="1" applyAlignment="1">
      <alignment horizontal="center" vertical="center" wrapText="1"/>
    </xf>
    <xf numFmtId="0" fontId="34" fillId="3" borderId="1" xfId="0" applyFont="1" applyFill="1" applyBorder="1" applyAlignment="1">
      <alignment horizontal="center" vertical="center" wrapText="1"/>
    </xf>
    <xf numFmtId="2" fontId="34" fillId="3" borderId="1" xfId="0" applyNumberFormat="1" applyFont="1" applyFill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 wrapText="1"/>
    </xf>
    <xf numFmtId="164" fontId="32" fillId="9" borderId="1" xfId="0" applyNumberFormat="1" applyFont="1" applyFill="1" applyBorder="1" applyAlignment="1">
      <alignment horizontal="center" vertical="center"/>
    </xf>
    <xf numFmtId="164" fontId="26" fillId="6" borderId="47" xfId="5" applyNumberFormat="1" applyFont="1" applyFill="1" applyBorder="1" applyAlignment="1">
      <alignment horizontal="center" vertical="center"/>
    </xf>
    <xf numFmtId="164" fontId="26" fillId="6" borderId="48" xfId="5" applyNumberFormat="1" applyFont="1" applyFill="1" applyBorder="1" applyAlignment="1">
      <alignment horizontal="center" vertical="center"/>
    </xf>
    <xf numFmtId="164" fontId="26" fillId="6" borderId="49" xfId="5" applyNumberFormat="1" applyFont="1" applyFill="1" applyBorder="1" applyAlignment="1">
      <alignment horizontal="center" vertical="center"/>
    </xf>
    <xf numFmtId="0" fontId="34" fillId="10" borderId="1" xfId="0" applyFont="1" applyFill="1" applyBorder="1" applyAlignment="1">
      <alignment horizontal="center" vertical="center" wrapText="1"/>
    </xf>
    <xf numFmtId="164" fontId="24" fillId="0" borderId="1" xfId="0" applyNumberFormat="1" applyFont="1" applyBorder="1" applyAlignment="1">
      <alignment horizontal="center" vertical="center" wrapText="1"/>
    </xf>
    <xf numFmtId="0" fontId="33" fillId="0" borderId="6" xfId="0" applyFont="1" applyBorder="1" applyAlignment="1">
      <alignment horizontal="center" vertical="center" wrapText="1"/>
    </xf>
    <xf numFmtId="0" fontId="36" fillId="0" borderId="0" xfId="0" applyFont="1" applyAlignment="1">
      <alignment vertical="center" wrapText="1"/>
    </xf>
    <xf numFmtId="0" fontId="36" fillId="0" borderId="0" xfId="0" applyFont="1">
      <alignment vertical="center"/>
    </xf>
    <xf numFmtId="15" fontId="36" fillId="0" borderId="0" xfId="0" applyNumberFormat="1" applyFont="1" applyAlignment="1"/>
    <xf numFmtId="0" fontId="37" fillId="0" borderId="32" xfId="15" applyFont="1" applyBorder="1" applyAlignment="1">
      <alignment horizontal="center" vertical="center" wrapText="1"/>
    </xf>
    <xf numFmtId="15" fontId="38" fillId="0" borderId="0" xfId="0" applyNumberFormat="1" applyFont="1" applyAlignment="1"/>
    <xf numFmtId="0" fontId="21" fillId="3" borderId="28" xfId="5" applyFont="1" applyFill="1" applyBorder="1" applyAlignment="1">
      <alignment horizontal="center" vertical="center" wrapText="1"/>
    </xf>
    <xf numFmtId="0" fontId="21" fillId="3" borderId="27" xfId="5" applyFont="1" applyFill="1" applyBorder="1" applyAlignment="1">
      <alignment horizontal="center" vertical="center" wrapText="1"/>
    </xf>
    <xf numFmtId="0" fontId="21" fillId="3" borderId="26" xfId="5" applyFont="1" applyFill="1" applyBorder="1" applyAlignment="1">
      <alignment horizontal="center" vertical="center" wrapText="1"/>
    </xf>
    <xf numFmtId="0" fontId="19" fillId="4" borderId="11" xfId="5" applyFont="1" applyFill="1" applyBorder="1" applyAlignment="1">
      <alignment horizontal="center" vertical="center" wrapText="1"/>
    </xf>
    <xf numFmtId="0" fontId="19" fillId="4" borderId="35" xfId="5" applyFont="1" applyFill="1" applyBorder="1" applyAlignment="1">
      <alignment horizontal="center" vertical="center" wrapText="1"/>
    </xf>
    <xf numFmtId="0" fontId="19" fillId="4" borderId="43" xfId="5" applyFont="1" applyFill="1" applyBorder="1" applyAlignment="1">
      <alignment horizontal="center" vertical="center" wrapText="1"/>
    </xf>
    <xf numFmtId="0" fontId="19" fillId="4" borderId="44" xfId="5" applyFont="1" applyFill="1" applyBorder="1" applyAlignment="1">
      <alignment horizontal="center" vertical="center" wrapText="1"/>
    </xf>
    <xf numFmtId="0" fontId="20" fillId="3" borderId="32" xfId="5" applyFont="1" applyFill="1" applyBorder="1" applyAlignment="1">
      <alignment horizontal="center" vertical="center" wrapText="1"/>
    </xf>
    <xf numFmtId="0" fontId="20" fillId="3" borderId="35" xfId="5" applyFont="1" applyFill="1" applyBorder="1" applyAlignment="1">
      <alignment horizontal="center" vertical="center" wrapText="1"/>
    </xf>
    <xf numFmtId="0" fontId="19" fillId="3" borderId="11" xfId="5" applyFont="1" applyFill="1" applyBorder="1" applyAlignment="1">
      <alignment horizontal="center" vertical="center" wrapText="1"/>
    </xf>
    <xf numFmtId="0" fontId="19" fillId="3" borderId="8" xfId="5" applyFont="1" applyFill="1" applyBorder="1" applyAlignment="1">
      <alignment horizontal="center" vertical="center" wrapText="1"/>
    </xf>
    <xf numFmtId="0" fontId="19" fillId="3" borderId="9" xfId="5" applyFont="1" applyFill="1" applyBorder="1" applyAlignment="1">
      <alignment horizontal="center" vertical="center" wrapText="1"/>
    </xf>
    <xf numFmtId="0" fontId="19" fillId="3" borderId="7" xfId="5" applyFont="1" applyFill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 wrapText="1"/>
    </xf>
    <xf numFmtId="0" fontId="33" fillId="0" borderId="4" xfId="0" applyFont="1" applyBorder="1" applyAlignment="1">
      <alignment horizontal="center" vertical="center" wrapText="1"/>
    </xf>
    <xf numFmtId="0" fontId="34" fillId="10" borderId="3" xfId="0" applyFont="1" applyFill="1" applyBorder="1" applyAlignment="1">
      <alignment horizontal="center" vertical="center" wrapText="1"/>
    </xf>
    <xf numFmtId="0" fontId="34" fillId="10" borderId="4" xfId="0" applyFont="1" applyFill="1" applyBorder="1" applyAlignment="1">
      <alignment horizontal="center" vertical="center" wrapText="1"/>
    </xf>
    <xf numFmtId="0" fontId="34" fillId="0" borderId="5" xfId="0" applyFont="1" applyBorder="1" applyAlignment="1">
      <alignment horizontal="center" vertical="center" wrapText="1"/>
    </xf>
    <xf numFmtId="0" fontId="34" fillId="0" borderId="45" xfId="0" applyFont="1" applyBorder="1" applyAlignment="1">
      <alignment horizontal="center" vertical="center" wrapText="1"/>
    </xf>
    <xf numFmtId="0" fontId="34" fillId="0" borderId="6" xfId="0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 wrapText="1"/>
    </xf>
    <xf numFmtId="0" fontId="32" fillId="7" borderId="17" xfId="0" applyFont="1" applyFill="1" applyBorder="1" applyAlignment="1">
      <alignment horizontal="center" vertical="center"/>
    </xf>
    <xf numFmtId="0" fontId="32" fillId="7" borderId="4" xfId="0" applyFont="1" applyFill="1" applyBorder="1" applyAlignment="1">
      <alignment horizontal="center" vertical="center"/>
    </xf>
    <xf numFmtId="0" fontId="32" fillId="9" borderId="17" xfId="0" applyFont="1" applyFill="1" applyBorder="1" applyAlignment="1">
      <alignment horizontal="center" vertical="center"/>
    </xf>
    <xf numFmtId="0" fontId="32" fillId="9" borderId="4" xfId="0" applyFont="1" applyFill="1" applyBorder="1" applyAlignment="1">
      <alignment horizontal="center" vertical="center"/>
    </xf>
    <xf numFmtId="0" fontId="34" fillId="0" borderId="1" xfId="0" applyFont="1" applyBorder="1" applyAlignment="1">
      <alignment horizontal="center" vertical="center" wrapText="1"/>
    </xf>
    <xf numFmtId="0" fontId="34" fillId="3" borderId="3" xfId="0" applyFont="1" applyFill="1" applyBorder="1" applyAlignment="1">
      <alignment horizontal="center" vertical="center" wrapText="1"/>
    </xf>
    <xf numFmtId="0" fontId="34" fillId="3" borderId="4" xfId="0" applyFont="1" applyFill="1" applyBorder="1" applyAlignment="1">
      <alignment horizontal="center" vertical="center" wrapText="1"/>
    </xf>
    <xf numFmtId="0" fontId="34" fillId="8" borderId="3" xfId="0" applyFont="1" applyFill="1" applyBorder="1" applyAlignment="1">
      <alignment horizontal="center" vertical="center" wrapText="1"/>
    </xf>
    <xf numFmtId="0" fontId="34" fillId="8" borderId="4" xfId="0" applyFont="1" applyFill="1" applyBorder="1" applyAlignment="1">
      <alignment horizontal="center" vertical="center" wrapText="1"/>
    </xf>
    <xf numFmtId="0" fontId="34" fillId="0" borderId="46" xfId="0" applyFont="1" applyBorder="1" applyAlignment="1">
      <alignment horizontal="center" vertical="center" wrapText="1"/>
    </xf>
    <xf numFmtId="0" fontId="34" fillId="0" borderId="2" xfId="0" applyFont="1" applyBorder="1" applyAlignment="1">
      <alignment horizontal="center" vertical="center" wrapText="1"/>
    </xf>
    <xf numFmtId="0" fontId="36" fillId="0" borderId="0" xfId="28" applyFont="1"/>
    <xf numFmtId="166" fontId="36" fillId="0" borderId="0" xfId="28" applyNumberFormat="1" applyFont="1"/>
    <xf numFmtId="0" fontId="36" fillId="0" borderId="0" xfId="28" quotePrefix="1" applyFont="1"/>
    <xf numFmtId="0" fontId="36" fillId="0" borderId="0" xfId="28" applyFont="1" applyAlignment="1">
      <alignment horizontal="center" vertical="center"/>
    </xf>
    <xf numFmtId="0" fontId="36" fillId="0" borderId="0" xfId="28" applyFont="1" applyAlignment="1">
      <alignment vertical="center"/>
    </xf>
    <xf numFmtId="0" fontId="36" fillId="0" borderId="0" xfId="29" applyFont="1" applyAlignment="1">
      <alignment horizontal="center" vertical="center"/>
    </xf>
    <xf numFmtId="164" fontId="36" fillId="0" borderId="0" xfId="28" applyNumberFormat="1" applyFont="1"/>
    <xf numFmtId="0" fontId="36" fillId="0" borderId="0" xfId="28" applyFont="1" applyAlignment="1">
      <alignment horizontal="center"/>
    </xf>
    <xf numFmtId="0" fontId="36" fillId="0" borderId="0" xfId="29" applyFont="1" applyAlignment="1">
      <alignment horizontal="center"/>
    </xf>
    <xf numFmtId="2" fontId="36" fillId="0" borderId="0" xfId="29" applyNumberFormat="1" applyFont="1" applyAlignment="1">
      <alignment horizontal="center" vertical="center"/>
    </xf>
    <xf numFmtId="0" fontId="36" fillId="0" borderId="0" xfId="29" applyFont="1"/>
    <xf numFmtId="2" fontId="36" fillId="0" borderId="0" xfId="29" applyNumberFormat="1" applyFont="1"/>
  </cellXfs>
  <cellStyles count="30">
    <cellStyle name="Normal" xfId="0" builtinId="0"/>
    <cellStyle name="Normal 2" xfId="1"/>
    <cellStyle name="Normal 2 2" xfId="12"/>
    <cellStyle name="Normal 3" xfId="3"/>
    <cellStyle name="Normal 3 2" xfId="11"/>
    <cellStyle name="Normal 3 2 2" xfId="13"/>
    <cellStyle name="Normal 3 2 2 2" xfId="17"/>
    <cellStyle name="Normal 3 2 2 2 2" xfId="19"/>
    <cellStyle name="Normal 3 2 2 2 2 2" xfId="21"/>
    <cellStyle name="Normal 3 2 2 2 2 2 2" xfId="23"/>
    <cellStyle name="Normal 3 2 2 2 2 2 2 2" xfId="25"/>
    <cellStyle name="Normal 3 2 2 2 2 2 2 2 2" xfId="27"/>
    <cellStyle name="Normal 3 2 2 2 2 2 2 2 2 2" xfId="29"/>
    <cellStyle name="Normal 3 3" xfId="14"/>
    <cellStyle name="Normal 3 3 2" xfId="16"/>
    <cellStyle name="Normal 3 3 2 2" xfId="18"/>
    <cellStyle name="Normal 3 3 2 2 2" xfId="20"/>
    <cellStyle name="Normal 3 3 2 2 2 2" xfId="22"/>
    <cellStyle name="Normal 3 3 2 2 2 2 2" xfId="24"/>
    <cellStyle name="Normal 3 3 2 2 2 2 2 2" xfId="26"/>
    <cellStyle name="Normal 3 3 2 2 2 2 2 2 2" xfId="28"/>
    <cellStyle name="Normal 4" xfId="4"/>
    <cellStyle name="Normal 4 2" xfId="7"/>
    <cellStyle name="Normal 4 2 2" xfId="15"/>
    <cellStyle name="Normal 4 3" xfId="9"/>
    <cellStyle name="Normal 5" xfId="8"/>
    <cellStyle name="Normal 6" xfId="10"/>
    <cellStyle name="자리수0" xfId="6"/>
    <cellStyle name="표준_Book1" xfId="2"/>
    <cellStyle name="표준_검사성적서(수입검사)" xfId="5"/>
  </cellStyles>
  <dxfs count="86"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theme="5" tint="-0.24994659260841701"/>
      </font>
      <fill>
        <patternFill>
          <bgColor rgb="FFFFFF00"/>
        </patternFill>
      </fill>
    </dxf>
    <dxf>
      <font>
        <color rgb="FFFF5050"/>
      </font>
    </dxf>
    <dxf>
      <font>
        <color rgb="FFFF505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00"/>
      <color rgb="FF29FF8A"/>
      <color rgb="FFFF5050"/>
      <color rgb="FFB7DEE8"/>
      <color rgb="FF99FF99"/>
      <color rgb="FFFF7C80"/>
      <color rgb="FFFF9933"/>
      <color rgb="FFFF9966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79023</xdr:colOff>
      <xdr:row>9</xdr:row>
      <xdr:rowOff>36970</xdr:rowOff>
    </xdr:from>
    <xdr:to>
      <xdr:col>5</xdr:col>
      <xdr:colOff>84159</xdr:colOff>
      <xdr:row>9</xdr:row>
      <xdr:rowOff>496957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7823" y="1751470"/>
          <a:ext cx="1224336" cy="155187"/>
        </a:xfrm>
        <a:prstGeom prst="rect">
          <a:avLst/>
        </a:prstGeom>
      </xdr:spPr>
    </xdr:pic>
    <xdr:clientData/>
  </xdr:twoCellAnchor>
  <xdr:twoCellAnchor>
    <xdr:from>
      <xdr:col>7</xdr:col>
      <xdr:colOff>50448</xdr:colOff>
      <xdr:row>9</xdr:row>
      <xdr:rowOff>36970</xdr:rowOff>
    </xdr:from>
    <xdr:to>
      <xdr:col>9</xdr:col>
      <xdr:colOff>55583</xdr:colOff>
      <xdr:row>9</xdr:row>
      <xdr:rowOff>496957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17648" y="1751470"/>
          <a:ext cx="1224335" cy="155187"/>
        </a:xfrm>
        <a:prstGeom prst="rect">
          <a:avLst/>
        </a:prstGeom>
      </xdr:spPr>
    </xdr:pic>
    <xdr:clientData/>
  </xdr:twoCellAnchor>
  <xdr:twoCellAnchor>
    <xdr:from>
      <xdr:col>1</xdr:col>
      <xdr:colOff>38100</xdr:colOff>
      <xdr:row>1</xdr:row>
      <xdr:rowOff>58807</xdr:rowOff>
    </xdr:from>
    <xdr:to>
      <xdr:col>2</xdr:col>
      <xdr:colOff>118488</xdr:colOff>
      <xdr:row>1</xdr:row>
      <xdr:rowOff>344557</xdr:rowOff>
    </xdr:to>
    <xdr:pic>
      <xdr:nvPicPr>
        <xdr:cNvPr id="4" name="Picture 1" descr="image006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730" b="22200"/>
        <a:stretch/>
      </xdr:blipFill>
      <xdr:spPr bwMode="auto">
        <a:xfrm>
          <a:off x="112643" y="133350"/>
          <a:ext cx="1264802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4</xdr:col>
      <xdr:colOff>33704</xdr:colOff>
      <xdr:row>0</xdr:row>
      <xdr:rowOff>609600</xdr:rowOff>
    </xdr:to>
    <xdr:sp macro="" textlink="">
      <xdr:nvSpPr>
        <xdr:cNvPr id="2050" name="CommandButton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="" xmlns:a16="http://schemas.microsoft.com/office/drawing/2014/main" id="{00000000-0008-0000-03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4</xdr:col>
          <xdr:colOff>114300</xdr:colOff>
          <xdr:row>0</xdr:row>
          <xdr:rowOff>657225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39464</xdr:colOff>
      <xdr:row>1</xdr:row>
      <xdr:rowOff>29229</xdr:rowOff>
    </xdr:from>
    <xdr:to>
      <xdr:col>2</xdr:col>
      <xdr:colOff>633374</xdr:colOff>
      <xdr:row>2</xdr:row>
      <xdr:rowOff>107670</xdr:rowOff>
    </xdr:to>
    <xdr:pic>
      <xdr:nvPicPr>
        <xdr:cNvPr id="3" name="Picture 1" descr="image00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007" y="103772"/>
          <a:ext cx="1264802" cy="442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J26"/>
  <sheetViews>
    <sheetView showGridLines="0" zoomScale="85" zoomScaleNormal="85" workbookViewId="0">
      <selection activeCell="N24" sqref="N24"/>
    </sheetView>
  </sheetViews>
  <sheetFormatPr defaultRowHeight="15"/>
  <cols>
    <col min="1" max="1" width="1.140625" style="32" customWidth="1"/>
    <col min="2" max="2" width="17.7109375" style="32" customWidth="1"/>
    <col min="3" max="10" width="10.7109375" style="32" customWidth="1"/>
    <col min="11" max="11" width="1.140625" style="32" customWidth="1"/>
    <col min="12" max="13" width="6.85546875" style="32" customWidth="1"/>
    <col min="14" max="27" width="6.42578125" style="32" customWidth="1"/>
    <col min="28" max="16384" width="9.140625" style="32"/>
  </cols>
  <sheetData>
    <row r="1" spans="1:10" ht="6" customHeight="1" thickBot="1"/>
    <row r="2" spans="1:10" ht="39.75" customHeight="1" thickBot="1">
      <c r="B2" s="96" t="s">
        <v>491</v>
      </c>
      <c r="C2" s="71"/>
      <c r="D2" s="71"/>
      <c r="E2" s="71"/>
      <c r="F2" s="71"/>
      <c r="G2" s="71"/>
      <c r="H2" s="71"/>
      <c r="I2" s="71"/>
      <c r="J2" s="70"/>
    </row>
    <row r="3" spans="1:10" ht="15" customHeight="1">
      <c r="A3" s="32">
        <v>2</v>
      </c>
      <c r="B3" s="69" t="s">
        <v>20</v>
      </c>
      <c r="C3" s="68" t="s">
        <v>34</v>
      </c>
      <c r="D3" s="67"/>
      <c r="E3" s="67"/>
      <c r="F3" s="67"/>
      <c r="G3" s="67"/>
      <c r="H3" s="67"/>
      <c r="I3" s="67"/>
      <c r="J3" s="66"/>
    </row>
    <row r="4" spans="1:10" ht="15" customHeight="1">
      <c r="B4" s="65"/>
      <c r="C4" s="63" t="s">
        <v>35</v>
      </c>
      <c r="D4" s="62"/>
      <c r="E4" s="62"/>
      <c r="F4" s="62"/>
      <c r="G4" s="62"/>
      <c r="H4" s="62"/>
      <c r="I4" s="62"/>
      <c r="J4" s="61"/>
    </row>
    <row r="5" spans="1:10" ht="15" customHeight="1">
      <c r="B5" s="64" t="s">
        <v>37</v>
      </c>
      <c r="C5" s="63" t="s">
        <v>36</v>
      </c>
      <c r="D5" s="62"/>
      <c r="E5" s="62"/>
      <c r="F5" s="62"/>
      <c r="G5" s="62"/>
      <c r="H5" s="62"/>
      <c r="I5" s="62"/>
      <c r="J5" s="61"/>
    </row>
    <row r="6" spans="1:10" ht="15" customHeight="1" thickBot="1">
      <c r="B6" s="60"/>
      <c r="C6" s="59" t="s">
        <v>33</v>
      </c>
      <c r="D6" s="58"/>
      <c r="E6" s="58"/>
      <c r="F6" s="58"/>
      <c r="G6" s="58"/>
      <c r="H6" s="58"/>
      <c r="I6" s="58"/>
      <c r="J6" s="57"/>
    </row>
    <row r="7" spans="1:10" ht="15.75" customHeight="1" thickBot="1">
      <c r="B7" s="56" t="s">
        <v>5</v>
      </c>
      <c r="C7" s="55"/>
      <c r="D7" s="54"/>
      <c r="E7" s="54"/>
      <c r="F7" s="54"/>
      <c r="G7" s="54"/>
      <c r="H7" s="54"/>
      <c r="I7" s="54"/>
      <c r="J7" s="53"/>
    </row>
    <row r="8" spans="1:10" ht="15" customHeight="1" thickBot="1">
      <c r="B8" s="105" t="s">
        <v>6</v>
      </c>
      <c r="C8" s="107" t="s">
        <v>22</v>
      </c>
      <c r="D8" s="108"/>
      <c r="E8" s="108"/>
      <c r="F8" s="109"/>
      <c r="G8" s="110" t="s">
        <v>22</v>
      </c>
      <c r="H8" s="108"/>
      <c r="I8" s="108"/>
      <c r="J8" s="109"/>
    </row>
    <row r="9" spans="1:10" ht="15" customHeight="1" thickBot="1">
      <c r="B9" s="105"/>
      <c r="C9" s="98" t="str">
        <f>C13&amp;"~"&amp;C12&amp;" mm"</f>
        <v>~ mm</v>
      </c>
      <c r="D9" s="99"/>
      <c r="E9" s="99"/>
      <c r="F9" s="100"/>
      <c r="G9" s="98" t="str">
        <f>G13&amp;"~"&amp;G12&amp;" mm"</f>
        <v>~ mm</v>
      </c>
      <c r="H9" s="99"/>
      <c r="I9" s="99"/>
      <c r="J9" s="100"/>
    </row>
    <row r="10" spans="1:10" ht="41.25" customHeight="1" thickBot="1">
      <c r="B10" s="105"/>
      <c r="C10" s="101"/>
      <c r="D10" s="101"/>
      <c r="E10" s="101"/>
      <c r="F10" s="101"/>
      <c r="G10" s="102"/>
      <c r="H10" s="103"/>
      <c r="I10" s="103"/>
      <c r="J10" s="104"/>
    </row>
    <row r="11" spans="1:10" ht="12.75" customHeight="1">
      <c r="B11" s="106"/>
      <c r="C11" s="2" t="s">
        <v>7</v>
      </c>
      <c r="D11" s="9" t="s">
        <v>8</v>
      </c>
      <c r="E11" s="9" t="s">
        <v>9</v>
      </c>
      <c r="F11" s="10" t="s">
        <v>10</v>
      </c>
      <c r="G11" s="3" t="s">
        <v>7</v>
      </c>
      <c r="H11" s="9" t="s">
        <v>8</v>
      </c>
      <c r="I11" s="9" t="s">
        <v>9</v>
      </c>
      <c r="J11" s="11" t="s">
        <v>10</v>
      </c>
    </row>
    <row r="12" spans="1:10" ht="12.75" customHeight="1">
      <c r="B12" s="12" t="s">
        <v>11</v>
      </c>
      <c r="C12" s="2"/>
      <c r="D12" s="4">
        <f>C12</f>
        <v>0</v>
      </c>
      <c r="E12" s="4">
        <f>C12</f>
        <v>0</v>
      </c>
      <c r="F12" s="1">
        <f>C12</f>
        <v>0</v>
      </c>
      <c r="G12" s="2"/>
      <c r="H12" s="4">
        <f>G12</f>
        <v>0</v>
      </c>
      <c r="I12" s="4">
        <f>G12</f>
        <v>0</v>
      </c>
      <c r="J12" s="1">
        <f>G12</f>
        <v>0</v>
      </c>
    </row>
    <row r="13" spans="1:10" ht="12.75" customHeight="1">
      <c r="B13" s="12" t="s">
        <v>12</v>
      </c>
      <c r="C13" s="2"/>
      <c r="D13" s="4">
        <f>C13</f>
        <v>0</v>
      </c>
      <c r="E13" s="4">
        <f>C13</f>
        <v>0</v>
      </c>
      <c r="F13" s="1">
        <f>C13</f>
        <v>0</v>
      </c>
      <c r="G13" s="3"/>
      <c r="H13" s="4">
        <f>G13</f>
        <v>0</v>
      </c>
      <c r="I13" s="4">
        <f>G13</f>
        <v>0</v>
      </c>
      <c r="J13" s="1">
        <f>G13</f>
        <v>0</v>
      </c>
    </row>
    <row r="14" spans="1:10" ht="12.75" customHeight="1">
      <c r="B14" s="13" t="s">
        <v>13</v>
      </c>
      <c r="C14" s="5">
        <f t="shared" ref="C14:J14" si="0">+C12-(C12-C13)*10%</f>
        <v>0</v>
      </c>
      <c r="D14" s="6">
        <f t="shared" si="0"/>
        <v>0</v>
      </c>
      <c r="E14" s="6">
        <f t="shared" si="0"/>
        <v>0</v>
      </c>
      <c r="F14" s="7">
        <f t="shared" si="0"/>
        <v>0</v>
      </c>
      <c r="G14" s="8">
        <f t="shared" si="0"/>
        <v>0</v>
      </c>
      <c r="H14" s="6">
        <f t="shared" si="0"/>
        <v>0</v>
      </c>
      <c r="I14" s="6">
        <f t="shared" si="0"/>
        <v>0</v>
      </c>
      <c r="J14" s="7">
        <f t="shared" si="0"/>
        <v>0</v>
      </c>
    </row>
    <row r="15" spans="1:10" ht="12.75" customHeight="1">
      <c r="B15" s="13" t="s">
        <v>14</v>
      </c>
      <c r="C15" s="5">
        <f t="shared" ref="C15:J15" si="1">+C13+(C12-C13)*10%</f>
        <v>0</v>
      </c>
      <c r="D15" s="6">
        <f t="shared" si="1"/>
        <v>0</v>
      </c>
      <c r="E15" s="6">
        <f t="shared" si="1"/>
        <v>0</v>
      </c>
      <c r="F15" s="7">
        <f t="shared" si="1"/>
        <v>0</v>
      </c>
      <c r="G15" s="8">
        <f t="shared" si="1"/>
        <v>0</v>
      </c>
      <c r="H15" s="6">
        <f t="shared" si="1"/>
        <v>0</v>
      </c>
      <c r="I15" s="6">
        <f t="shared" si="1"/>
        <v>0</v>
      </c>
      <c r="J15" s="7">
        <f t="shared" si="1"/>
        <v>0</v>
      </c>
    </row>
    <row r="16" spans="1:10" ht="12.75" customHeight="1">
      <c r="B16" s="52" t="s">
        <v>1</v>
      </c>
      <c r="C16" s="51">
        <f t="shared" ref="C16:J16" si="2">MAX(C24:C25)</f>
        <v>0</v>
      </c>
      <c r="D16" s="40">
        <f t="shared" si="2"/>
        <v>0</v>
      </c>
      <c r="E16" s="40">
        <f t="shared" si="2"/>
        <v>0</v>
      </c>
      <c r="F16" s="50">
        <f t="shared" si="2"/>
        <v>0</v>
      </c>
      <c r="G16" s="51">
        <f t="shared" si="2"/>
        <v>0</v>
      </c>
      <c r="H16" s="40">
        <f t="shared" si="2"/>
        <v>0</v>
      </c>
      <c r="I16" s="40">
        <f t="shared" si="2"/>
        <v>0</v>
      </c>
      <c r="J16" s="50">
        <f t="shared" si="2"/>
        <v>0</v>
      </c>
    </row>
    <row r="17" spans="2:10" ht="12.75" customHeight="1">
      <c r="B17" s="44" t="s">
        <v>2</v>
      </c>
      <c r="C17" s="51">
        <f t="shared" ref="C17:J17" si="3">MIN(C24:C25)</f>
        <v>0</v>
      </c>
      <c r="D17" s="40">
        <f t="shared" si="3"/>
        <v>0</v>
      </c>
      <c r="E17" s="40">
        <f t="shared" si="3"/>
        <v>0</v>
      </c>
      <c r="F17" s="50">
        <f t="shared" si="3"/>
        <v>0</v>
      </c>
      <c r="G17" s="51">
        <f t="shared" si="3"/>
        <v>0</v>
      </c>
      <c r="H17" s="40">
        <f t="shared" si="3"/>
        <v>0</v>
      </c>
      <c r="I17" s="40">
        <f t="shared" si="3"/>
        <v>0</v>
      </c>
      <c r="J17" s="50">
        <f t="shared" si="3"/>
        <v>0</v>
      </c>
    </row>
    <row r="18" spans="2:10" ht="12.75" customHeight="1">
      <c r="B18" s="38" t="s">
        <v>3</v>
      </c>
      <c r="C18" s="49" t="e">
        <f t="shared" ref="C18:J18" si="4">AVERAGE(C24:C25)</f>
        <v>#DIV/0!</v>
      </c>
      <c r="D18" s="47" t="e">
        <f t="shared" si="4"/>
        <v>#DIV/0!</v>
      </c>
      <c r="E18" s="46" t="e">
        <f t="shared" si="4"/>
        <v>#DIV/0!</v>
      </c>
      <c r="F18" s="45" t="e">
        <f t="shared" si="4"/>
        <v>#DIV/0!</v>
      </c>
      <c r="G18" s="48" t="e">
        <f t="shared" si="4"/>
        <v>#DIV/0!</v>
      </c>
      <c r="H18" s="47" t="e">
        <f t="shared" si="4"/>
        <v>#DIV/0!</v>
      </c>
      <c r="I18" s="46" t="e">
        <f t="shared" si="4"/>
        <v>#DIV/0!</v>
      </c>
      <c r="J18" s="45" t="e">
        <f t="shared" si="4"/>
        <v>#DIV/0!</v>
      </c>
    </row>
    <row r="19" spans="2:10" ht="12.75" customHeight="1">
      <c r="B19" s="44" t="s">
        <v>15</v>
      </c>
      <c r="C19" s="43" t="e">
        <f t="shared" ref="C19:J19" si="5">STDEV(C24:C25)</f>
        <v>#DIV/0!</v>
      </c>
      <c r="D19" s="41" t="e">
        <f t="shared" si="5"/>
        <v>#DIV/0!</v>
      </c>
      <c r="E19" s="40" t="e">
        <f t="shared" si="5"/>
        <v>#DIV/0!</v>
      </c>
      <c r="F19" s="39" t="e">
        <f t="shared" si="5"/>
        <v>#DIV/0!</v>
      </c>
      <c r="G19" s="42" t="e">
        <f t="shared" si="5"/>
        <v>#DIV/0!</v>
      </c>
      <c r="H19" s="41" t="e">
        <f t="shared" si="5"/>
        <v>#DIV/0!</v>
      </c>
      <c r="I19" s="40" t="e">
        <f t="shared" si="5"/>
        <v>#DIV/0!</v>
      </c>
      <c r="J19" s="39" t="e">
        <f t="shared" si="5"/>
        <v>#DIV/0!</v>
      </c>
    </row>
    <row r="20" spans="2:10" ht="12.75" customHeight="1">
      <c r="B20" s="44" t="s">
        <v>16</v>
      </c>
      <c r="C20" s="43" t="e">
        <f t="shared" ref="C20:J20" si="6">(C12-C13)/(C19*6)</f>
        <v>#DIV/0!</v>
      </c>
      <c r="D20" s="41" t="e">
        <f t="shared" si="6"/>
        <v>#DIV/0!</v>
      </c>
      <c r="E20" s="40" t="e">
        <f t="shared" si="6"/>
        <v>#DIV/0!</v>
      </c>
      <c r="F20" s="39" t="e">
        <f t="shared" si="6"/>
        <v>#DIV/0!</v>
      </c>
      <c r="G20" s="42" t="e">
        <f t="shared" si="6"/>
        <v>#DIV/0!</v>
      </c>
      <c r="H20" s="41" t="e">
        <f t="shared" si="6"/>
        <v>#DIV/0!</v>
      </c>
      <c r="I20" s="40" t="e">
        <f t="shared" si="6"/>
        <v>#DIV/0!</v>
      </c>
      <c r="J20" s="39" t="e">
        <f t="shared" si="6"/>
        <v>#DIV/0!</v>
      </c>
    </row>
    <row r="21" spans="2:10" ht="12.75" customHeight="1">
      <c r="B21" s="44" t="s">
        <v>17</v>
      </c>
      <c r="C21" s="43" t="e">
        <f t="shared" ref="C21:J21" si="7">+(C18-C13)/(C19*3)</f>
        <v>#DIV/0!</v>
      </c>
      <c r="D21" s="40" t="e">
        <f t="shared" si="7"/>
        <v>#DIV/0!</v>
      </c>
      <c r="E21" s="40" t="e">
        <f t="shared" si="7"/>
        <v>#DIV/0!</v>
      </c>
      <c r="F21" s="39" t="e">
        <f t="shared" si="7"/>
        <v>#DIV/0!</v>
      </c>
      <c r="G21" s="42" t="e">
        <f t="shared" si="7"/>
        <v>#DIV/0!</v>
      </c>
      <c r="H21" s="40" t="e">
        <f t="shared" si="7"/>
        <v>#DIV/0!</v>
      </c>
      <c r="I21" s="40" t="e">
        <f t="shared" si="7"/>
        <v>#DIV/0!</v>
      </c>
      <c r="J21" s="39" t="e">
        <f t="shared" si="7"/>
        <v>#DIV/0!</v>
      </c>
    </row>
    <row r="22" spans="2:10" ht="12.75" customHeight="1">
      <c r="B22" s="44" t="s">
        <v>18</v>
      </c>
      <c r="C22" s="43" t="e">
        <f t="shared" ref="C22:J22" si="8">+(C12-C18)/(C19*3)</f>
        <v>#DIV/0!</v>
      </c>
      <c r="D22" s="41" t="e">
        <f t="shared" si="8"/>
        <v>#DIV/0!</v>
      </c>
      <c r="E22" s="40" t="e">
        <f t="shared" si="8"/>
        <v>#DIV/0!</v>
      </c>
      <c r="F22" s="39" t="e">
        <f t="shared" si="8"/>
        <v>#DIV/0!</v>
      </c>
      <c r="G22" s="42" t="e">
        <f t="shared" si="8"/>
        <v>#DIV/0!</v>
      </c>
      <c r="H22" s="41" t="e">
        <f t="shared" si="8"/>
        <v>#DIV/0!</v>
      </c>
      <c r="I22" s="40" t="e">
        <f t="shared" si="8"/>
        <v>#DIV/0!</v>
      </c>
      <c r="J22" s="39" t="e">
        <f t="shared" si="8"/>
        <v>#DIV/0!</v>
      </c>
    </row>
    <row r="23" spans="2:10" ht="12.75" customHeight="1" thickBot="1">
      <c r="B23" s="38" t="s">
        <v>19</v>
      </c>
      <c r="C23" s="37" t="e">
        <f t="shared" ref="C23:J23" si="9">ABS(MIN(C20:C22))</f>
        <v>#DIV/0!</v>
      </c>
      <c r="D23" s="35" t="e">
        <f t="shared" si="9"/>
        <v>#DIV/0!</v>
      </c>
      <c r="E23" s="34" t="e">
        <f t="shared" si="9"/>
        <v>#DIV/0!</v>
      </c>
      <c r="F23" s="33" t="e">
        <f t="shared" si="9"/>
        <v>#DIV/0!</v>
      </c>
      <c r="G23" s="36" t="e">
        <f t="shared" si="9"/>
        <v>#DIV/0!</v>
      </c>
      <c r="H23" s="35" t="e">
        <f t="shared" si="9"/>
        <v>#DIV/0!</v>
      </c>
      <c r="I23" s="34" t="e">
        <f t="shared" si="9"/>
        <v>#DIV/0!</v>
      </c>
      <c r="J23" s="33" t="e">
        <f t="shared" si="9"/>
        <v>#DIV/0!</v>
      </c>
    </row>
    <row r="24" spans="2:10" ht="12" customHeight="1">
      <c r="B24" s="14">
        <v>1</v>
      </c>
      <c r="C24" s="87"/>
      <c r="D24" s="88"/>
      <c r="E24" s="88"/>
      <c r="F24" s="89"/>
      <c r="G24" s="87"/>
      <c r="H24" s="88"/>
      <c r="I24" s="88"/>
      <c r="J24" s="89"/>
    </row>
    <row r="25" spans="2:10" ht="12" customHeight="1" thickBot="1">
      <c r="B25" s="15">
        <v>2</v>
      </c>
      <c r="C25" s="16"/>
      <c r="D25" s="17"/>
      <c r="E25" s="17"/>
      <c r="F25" s="18"/>
      <c r="G25" s="16"/>
      <c r="H25" s="17"/>
      <c r="I25" s="17"/>
      <c r="J25" s="18"/>
    </row>
    <row r="26" spans="2:10" ht="6" customHeight="1"/>
  </sheetData>
  <mergeCells count="7">
    <mergeCell ref="G9:J9"/>
    <mergeCell ref="C10:F10"/>
    <mergeCell ref="G10:J10"/>
    <mergeCell ref="B8:B11"/>
    <mergeCell ref="C8:F8"/>
    <mergeCell ref="G8:J8"/>
    <mergeCell ref="C9:F9"/>
  </mergeCells>
  <conditionalFormatting sqref="C23:J23">
    <cfRule type="cellIs" dxfId="85" priority="74" operator="lessThan">
      <formula>1.33</formula>
    </cfRule>
  </conditionalFormatting>
  <conditionalFormatting sqref="C24:C25">
    <cfRule type="containsBlanks" dxfId="84" priority="64">
      <formula>LEN(TRIM(C24))=0</formula>
    </cfRule>
    <cfRule type="cellIs" dxfId="83" priority="65" operator="lessThan">
      <formula>C$13</formula>
    </cfRule>
    <cfRule type="containsText" dxfId="82" priority="66" operator="containsText" text="Skip">
      <formula>NOT(ISERROR(SEARCH("Skip",C24)))</formula>
    </cfRule>
    <cfRule type="containsText" dxfId="81" priority="70" operator="containsText" text="Badmark">
      <formula>NOT(ISERROR(SEARCH("Badmark",C24)))</formula>
    </cfRule>
    <cfRule type="cellIs" dxfId="80" priority="71" operator="greaterThan">
      <formula>C$12</formula>
    </cfRule>
    <cfRule type="cellIs" dxfId="79" priority="72" operator="between">
      <formula>C$14</formula>
      <formula>C$12</formula>
    </cfRule>
    <cfRule type="cellIs" dxfId="78" priority="73" operator="between">
      <formula>C$13</formula>
      <formula>C$15</formula>
    </cfRule>
  </conditionalFormatting>
  <conditionalFormatting sqref="C16">
    <cfRule type="cellIs" dxfId="77" priority="68" operator="greaterThan">
      <formula>C12</formula>
    </cfRule>
  </conditionalFormatting>
  <conditionalFormatting sqref="C17">
    <cfRule type="cellIs" dxfId="76" priority="67" operator="lessThan">
      <formula>C13</formula>
    </cfRule>
  </conditionalFormatting>
  <conditionalFormatting sqref="D24:D25">
    <cfRule type="containsBlanks" dxfId="75" priority="57">
      <formula>LEN(TRIM(D24))=0</formula>
    </cfRule>
    <cfRule type="cellIs" dxfId="74" priority="58" operator="lessThan">
      <formula>D$13</formula>
    </cfRule>
    <cfRule type="containsText" dxfId="73" priority="59" operator="containsText" text="Skip">
      <formula>NOT(ISERROR(SEARCH("Skip",D24)))</formula>
    </cfRule>
    <cfRule type="containsText" dxfId="72" priority="60" operator="containsText" text="Badmark">
      <formula>NOT(ISERROR(SEARCH("Badmark",D24)))</formula>
    </cfRule>
    <cfRule type="cellIs" dxfId="71" priority="61" operator="greaterThan">
      <formula>D$12</formula>
    </cfRule>
    <cfRule type="cellIs" dxfId="70" priority="62" operator="between">
      <formula>D$14</formula>
      <formula>D$12</formula>
    </cfRule>
    <cfRule type="cellIs" dxfId="69" priority="63" operator="between">
      <formula>D$13</formula>
      <formula>D$15</formula>
    </cfRule>
  </conditionalFormatting>
  <conditionalFormatting sqref="E24:E25">
    <cfRule type="containsBlanks" dxfId="68" priority="50">
      <formula>LEN(TRIM(E24))=0</formula>
    </cfRule>
    <cfRule type="cellIs" dxfId="67" priority="51" operator="lessThan">
      <formula>E$13</formula>
    </cfRule>
    <cfRule type="containsText" dxfId="66" priority="52" operator="containsText" text="Skip">
      <formula>NOT(ISERROR(SEARCH("Skip",E24)))</formula>
    </cfRule>
    <cfRule type="containsText" dxfId="65" priority="53" operator="containsText" text="Badmark">
      <formula>NOT(ISERROR(SEARCH("Badmark",E24)))</formula>
    </cfRule>
    <cfRule type="cellIs" dxfId="64" priority="54" operator="greaterThan">
      <formula>E$12</formula>
    </cfRule>
    <cfRule type="cellIs" dxfId="63" priority="55" operator="between">
      <formula>E$14</formula>
      <formula>E$12</formula>
    </cfRule>
    <cfRule type="cellIs" dxfId="62" priority="56" operator="between">
      <formula>E$13</formula>
      <formula>E$15</formula>
    </cfRule>
  </conditionalFormatting>
  <conditionalFormatting sqref="F24:F25">
    <cfRule type="containsBlanks" dxfId="61" priority="43">
      <formula>LEN(TRIM(F24))=0</formula>
    </cfRule>
    <cfRule type="cellIs" dxfId="60" priority="44" operator="lessThan">
      <formula>F$13</formula>
    </cfRule>
    <cfRule type="containsText" dxfId="59" priority="45" operator="containsText" text="Skip">
      <formula>NOT(ISERROR(SEARCH("Skip",F24)))</formula>
    </cfRule>
    <cfRule type="containsText" dxfId="58" priority="46" operator="containsText" text="Badmark">
      <formula>NOT(ISERROR(SEARCH("Badmark",F24)))</formula>
    </cfRule>
    <cfRule type="cellIs" dxfId="57" priority="47" operator="greaterThan">
      <formula>F$12</formula>
    </cfRule>
    <cfRule type="cellIs" dxfId="56" priority="48" operator="between">
      <formula>F$14</formula>
      <formula>F$12</formula>
    </cfRule>
    <cfRule type="cellIs" dxfId="55" priority="49" operator="between">
      <formula>F$13</formula>
      <formula>F$15</formula>
    </cfRule>
  </conditionalFormatting>
  <conditionalFormatting sqref="G24:G25">
    <cfRule type="containsBlanks" dxfId="54" priority="36">
      <formula>LEN(TRIM(G24))=0</formula>
    </cfRule>
    <cfRule type="cellIs" dxfId="53" priority="37" operator="lessThan">
      <formula>G$13</formula>
    </cfRule>
    <cfRule type="containsText" dxfId="52" priority="38" operator="containsText" text="Skip">
      <formula>NOT(ISERROR(SEARCH("Skip",G24)))</formula>
    </cfRule>
    <cfRule type="containsText" dxfId="51" priority="39" operator="containsText" text="Badmark">
      <formula>NOT(ISERROR(SEARCH("Badmark",G24)))</formula>
    </cfRule>
    <cfRule type="cellIs" dxfId="50" priority="40" operator="greaterThan">
      <formula>G$12</formula>
    </cfRule>
    <cfRule type="cellIs" dxfId="49" priority="41" operator="between">
      <formula>G$14</formula>
      <formula>G$12</formula>
    </cfRule>
    <cfRule type="cellIs" dxfId="48" priority="42" operator="between">
      <formula>G$13</formula>
      <formula>G$15</formula>
    </cfRule>
  </conditionalFormatting>
  <conditionalFormatting sqref="H24:H25">
    <cfRule type="containsBlanks" dxfId="47" priority="29">
      <formula>LEN(TRIM(H24))=0</formula>
    </cfRule>
    <cfRule type="cellIs" dxfId="46" priority="30" operator="lessThan">
      <formula>H$13</formula>
    </cfRule>
    <cfRule type="containsText" dxfId="45" priority="31" operator="containsText" text="Skip">
      <formula>NOT(ISERROR(SEARCH("Skip",H24)))</formula>
    </cfRule>
    <cfRule type="containsText" dxfId="44" priority="32" operator="containsText" text="Badmark">
      <formula>NOT(ISERROR(SEARCH("Badmark",H24)))</formula>
    </cfRule>
    <cfRule type="cellIs" dxfId="43" priority="33" operator="greaterThan">
      <formula>H$12</formula>
    </cfRule>
    <cfRule type="cellIs" dxfId="42" priority="34" operator="between">
      <formula>H$14</formula>
      <formula>H$12</formula>
    </cfRule>
    <cfRule type="cellIs" dxfId="41" priority="35" operator="between">
      <formula>H$13</formula>
      <formula>H$15</formula>
    </cfRule>
  </conditionalFormatting>
  <conditionalFormatting sqref="I24:I25">
    <cfRule type="containsBlanks" dxfId="40" priority="22">
      <formula>LEN(TRIM(I24))=0</formula>
    </cfRule>
    <cfRule type="cellIs" dxfId="39" priority="23" operator="lessThan">
      <formula>I$13</formula>
    </cfRule>
    <cfRule type="containsText" dxfId="38" priority="24" operator="containsText" text="Skip">
      <formula>NOT(ISERROR(SEARCH("Skip",I24)))</formula>
    </cfRule>
    <cfRule type="containsText" dxfId="37" priority="25" operator="containsText" text="Badmark">
      <formula>NOT(ISERROR(SEARCH("Badmark",I24)))</formula>
    </cfRule>
    <cfRule type="cellIs" dxfId="36" priority="26" operator="greaterThan">
      <formula>I$12</formula>
    </cfRule>
    <cfRule type="cellIs" dxfId="35" priority="27" operator="between">
      <formula>I$14</formula>
      <formula>I$12</formula>
    </cfRule>
    <cfRule type="cellIs" dxfId="34" priority="28" operator="between">
      <formula>I$13</formula>
      <formula>I$15</formula>
    </cfRule>
  </conditionalFormatting>
  <conditionalFormatting sqref="J24:J25">
    <cfRule type="containsBlanks" dxfId="33" priority="15">
      <formula>LEN(TRIM(J24))=0</formula>
    </cfRule>
    <cfRule type="cellIs" dxfId="32" priority="16" operator="lessThan">
      <formula>J$13</formula>
    </cfRule>
    <cfRule type="containsText" dxfId="31" priority="17" operator="containsText" text="Skip">
      <formula>NOT(ISERROR(SEARCH("Skip",J24)))</formula>
    </cfRule>
    <cfRule type="containsText" dxfId="30" priority="18" operator="containsText" text="Badmark">
      <formula>NOT(ISERROR(SEARCH("Badmark",J24)))</formula>
    </cfRule>
    <cfRule type="cellIs" dxfId="29" priority="19" operator="greaterThan">
      <formula>J$12</formula>
    </cfRule>
    <cfRule type="cellIs" dxfId="28" priority="20" operator="between">
      <formula>J$14</formula>
      <formula>J$12</formula>
    </cfRule>
    <cfRule type="cellIs" dxfId="27" priority="21" operator="between">
      <formula>J$13</formula>
      <formula>J$15</formula>
    </cfRule>
  </conditionalFormatting>
  <conditionalFormatting sqref="D16">
    <cfRule type="cellIs" dxfId="26" priority="14" operator="greaterThan">
      <formula>D12</formula>
    </cfRule>
  </conditionalFormatting>
  <conditionalFormatting sqref="D17">
    <cfRule type="cellIs" dxfId="25" priority="13" operator="lessThan">
      <formula>D13</formula>
    </cfRule>
  </conditionalFormatting>
  <conditionalFormatting sqref="E16">
    <cfRule type="cellIs" dxfId="24" priority="12" operator="greaterThan">
      <formula>E12</formula>
    </cfRule>
  </conditionalFormatting>
  <conditionalFormatting sqref="E17">
    <cfRule type="cellIs" dxfId="23" priority="11" operator="lessThan">
      <formula>E13</formula>
    </cfRule>
  </conditionalFormatting>
  <conditionalFormatting sqref="F16">
    <cfRule type="cellIs" dxfId="22" priority="10" operator="greaterThan">
      <formula>F12</formula>
    </cfRule>
  </conditionalFormatting>
  <conditionalFormatting sqref="F17">
    <cfRule type="cellIs" dxfId="21" priority="9" operator="lessThan">
      <formula>F13</formula>
    </cfRule>
  </conditionalFormatting>
  <conditionalFormatting sqref="G16">
    <cfRule type="cellIs" dxfId="20" priority="8" operator="greaterThan">
      <formula>G12</formula>
    </cfRule>
  </conditionalFormatting>
  <conditionalFormatting sqref="G17">
    <cfRule type="cellIs" dxfId="19" priority="7" operator="lessThan">
      <formula>G13</formula>
    </cfRule>
  </conditionalFormatting>
  <conditionalFormatting sqref="H16">
    <cfRule type="cellIs" dxfId="18" priority="6" operator="greaterThan">
      <formula>H12</formula>
    </cfRule>
  </conditionalFormatting>
  <conditionalFormatting sqref="H17">
    <cfRule type="cellIs" dxfId="17" priority="5" operator="lessThan">
      <formula>H13</formula>
    </cfRule>
  </conditionalFormatting>
  <conditionalFormatting sqref="I16">
    <cfRule type="cellIs" dxfId="16" priority="4" operator="greaterThan">
      <formula>I12</formula>
    </cfRule>
  </conditionalFormatting>
  <conditionalFormatting sqref="I17">
    <cfRule type="cellIs" dxfId="15" priority="3" operator="lessThan">
      <formula>I13</formula>
    </cfRule>
  </conditionalFormatting>
  <conditionalFormatting sqref="J16">
    <cfRule type="cellIs" dxfId="14" priority="2" operator="greaterThan">
      <formula>J12</formula>
    </cfRule>
  </conditionalFormatting>
  <conditionalFormatting sqref="J17">
    <cfRule type="cellIs" dxfId="13" priority="1" operator="lessThan">
      <formula>J13</formula>
    </cfRule>
  </conditionalFormatting>
  <pageMargins left="0" right="0" top="0" bottom="0" header="0" footer="0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E"/>
  <dimension ref="A1:XFC1048575"/>
  <sheetViews>
    <sheetView showGridLines="0" tabSelected="1" zoomScale="130" zoomScaleNormal="130" workbookViewId="0">
      <pane ySplit="1" topLeftCell="A2" activePane="bottomLeft" state="frozen"/>
      <selection pane="bottomLeft" activeCell="A2" sqref="A2:A13"/>
    </sheetView>
  </sheetViews>
  <sheetFormatPr defaultRowHeight="15"/>
  <cols>
    <col min="1" max="1" width="6.85546875" style="22" customWidth="1"/>
    <col min="2" max="2" width="6.28515625" style="19" customWidth="1"/>
    <col min="3" max="3" width="11.85546875" style="21" customWidth="1"/>
    <col min="4" max="4" width="9.140625" style="27"/>
    <col min="5" max="5" width="9.140625" style="25"/>
    <col min="7" max="7" width="11.42578125" bestFit="1" customWidth="1"/>
    <col min="8" max="8" width="12.5703125" bestFit="1" customWidth="1"/>
    <col min="9" max="9" width="17" bestFit="1" customWidth="1"/>
    <col min="12" max="12" width="10.7109375" bestFit="1" customWidth="1"/>
  </cols>
  <sheetData>
    <row r="1" spans="1:12" s="25" customFormat="1" ht="69" customHeight="1">
      <c r="A1" s="20" t="s">
        <v>21</v>
      </c>
      <c r="B1" s="20" t="s">
        <v>4</v>
      </c>
      <c r="C1" s="20" t="e">
        <v>#VALUE!</v>
      </c>
      <c r="D1" s="26"/>
      <c r="E1" s="28" t="s">
        <v>156</v>
      </c>
      <c r="F1" s="28"/>
      <c r="G1" s="25" t="s">
        <v>155</v>
      </c>
      <c r="H1" s="25" t="s">
        <v>154</v>
      </c>
      <c r="I1" s="29">
        <v>45857</v>
      </c>
      <c r="J1" s="25" t="s">
        <v>144</v>
      </c>
      <c r="K1" s="25" t="s">
        <v>501</v>
      </c>
      <c r="L1" s="25" t="s">
        <v>158</v>
      </c>
    </row>
    <row r="2" spans="1:12">
      <c r="A2" s="19">
        <v>1</v>
      </c>
      <c r="B2" s="19">
        <v>1</v>
      </c>
      <c r="C2" s="20" t="str">
        <f>IF(AND(A2&lt;&gt;"",B2&lt;&gt;""),IF(A2&lt;0.002,"NG Zero Set",IF(B2-A2-D2&lt;0.27,"Badmark",B2-A2-D2)),"")</f>
        <v>Badmark</v>
      </c>
      <c r="D2" s="26"/>
      <c r="H2" s="19"/>
    </row>
    <row r="3" spans="1:12">
      <c r="A3" s="19">
        <v>1</v>
      </c>
      <c r="B3" s="19">
        <v>2</v>
      </c>
      <c r="C3" s="20">
        <f t="shared" ref="C3:C13" si="0">IF(AND(A3&lt;&gt;"",B3&lt;&gt;""),IF(A3&lt;0.002,"NG Zero Set",IF(B3-A3-D3&lt;0.27,"Badmark",B3-A3-D3)),"")</f>
        <v>1</v>
      </c>
      <c r="D3" s="26"/>
      <c r="F3" s="19"/>
      <c r="G3" s="19"/>
      <c r="H3" s="19"/>
    </row>
    <row r="4" spans="1:12">
      <c r="A4" s="19">
        <v>1</v>
      </c>
      <c r="B4" s="19">
        <v>2</v>
      </c>
      <c r="C4" s="20">
        <f t="shared" si="0"/>
        <v>1</v>
      </c>
      <c r="D4" s="26"/>
      <c r="G4" s="23"/>
      <c r="H4" s="19"/>
    </row>
    <row r="5" spans="1:12">
      <c r="A5" s="19">
        <v>1</v>
      </c>
      <c r="B5" s="19">
        <v>2</v>
      </c>
      <c r="C5" s="20">
        <f t="shared" si="0"/>
        <v>1</v>
      </c>
      <c r="D5" s="26"/>
      <c r="F5" s="23"/>
      <c r="G5" s="23"/>
      <c r="H5" s="19"/>
    </row>
    <row r="6" spans="1:12">
      <c r="A6" s="19">
        <v>1</v>
      </c>
      <c r="B6" s="19">
        <v>2</v>
      </c>
      <c r="C6" s="20">
        <f t="shared" si="0"/>
        <v>1</v>
      </c>
      <c r="D6" s="26"/>
      <c r="E6"/>
      <c r="F6" s="23"/>
      <c r="G6" s="23"/>
      <c r="H6" s="19"/>
    </row>
    <row r="7" spans="1:12" ht="13.5" customHeight="1">
      <c r="A7" s="19">
        <v>1</v>
      </c>
      <c r="B7" s="19">
        <v>2</v>
      </c>
      <c r="C7" s="20">
        <f t="shared" si="0"/>
        <v>1</v>
      </c>
      <c r="D7" s="26"/>
      <c r="E7"/>
      <c r="F7" s="23"/>
      <c r="G7" s="23"/>
      <c r="H7" s="19"/>
    </row>
    <row r="8" spans="1:12">
      <c r="A8" s="19">
        <v>1</v>
      </c>
      <c r="B8" s="19">
        <v>2</v>
      </c>
      <c r="C8" s="20">
        <f t="shared" si="0"/>
        <v>1</v>
      </c>
      <c r="D8" s="26"/>
      <c r="E8"/>
      <c r="F8" s="23"/>
      <c r="G8" s="23"/>
      <c r="H8" s="19"/>
      <c r="K8" s="24"/>
    </row>
    <row r="9" spans="1:12">
      <c r="A9" s="19">
        <v>1</v>
      </c>
      <c r="B9" s="19">
        <v>2</v>
      </c>
      <c r="C9" s="20">
        <f t="shared" si="0"/>
        <v>1</v>
      </c>
      <c r="D9" s="26"/>
      <c r="E9"/>
      <c r="F9" s="23"/>
      <c r="G9" s="23"/>
      <c r="H9" s="19"/>
    </row>
    <row r="10" spans="1:12">
      <c r="A10" s="19">
        <v>1</v>
      </c>
      <c r="B10" s="19">
        <v>2</v>
      </c>
      <c r="C10" s="20">
        <f t="shared" si="0"/>
        <v>1</v>
      </c>
      <c r="D10" s="26"/>
      <c r="E10"/>
      <c r="F10" s="23"/>
      <c r="G10" s="23"/>
      <c r="H10" s="19"/>
    </row>
    <row r="11" spans="1:12">
      <c r="A11" s="19">
        <v>1</v>
      </c>
      <c r="B11" s="19">
        <v>2</v>
      </c>
      <c r="C11" s="20">
        <f t="shared" si="0"/>
        <v>1</v>
      </c>
      <c r="D11" s="26"/>
      <c r="E11"/>
      <c r="F11" s="23"/>
      <c r="G11" s="23"/>
      <c r="H11" s="19"/>
    </row>
    <row r="12" spans="1:12">
      <c r="A12" s="19">
        <v>1</v>
      </c>
      <c r="B12" s="19">
        <v>2</v>
      </c>
      <c r="C12" s="20">
        <f t="shared" si="0"/>
        <v>1</v>
      </c>
      <c r="D12" s="26"/>
      <c r="E12"/>
      <c r="F12" s="23"/>
      <c r="G12" s="23"/>
      <c r="H12" s="19"/>
    </row>
    <row r="13" spans="1:12">
      <c r="A13" s="19">
        <v>1</v>
      </c>
      <c r="B13" s="19">
        <v>2</v>
      </c>
      <c r="C13" s="20">
        <f t="shared" si="0"/>
        <v>1</v>
      </c>
      <c r="D13" s="26"/>
      <c r="E13"/>
      <c r="F13" s="23"/>
      <c r="G13" s="23"/>
      <c r="H13" s="19"/>
    </row>
    <row r="14" spans="1:12">
      <c r="A14" s="19"/>
      <c r="C14" s="20"/>
      <c r="D14" s="26"/>
      <c r="G14" s="23"/>
      <c r="H14" s="23"/>
      <c r="I14" s="19"/>
    </row>
    <row r="15" spans="1:12">
      <c r="A15" s="19"/>
      <c r="C15" s="20"/>
      <c r="D15" s="26"/>
      <c r="G15" s="23"/>
      <c r="H15" s="23"/>
      <c r="I15" s="19"/>
    </row>
    <row r="16" spans="1:12">
      <c r="A16" s="19"/>
      <c r="C16" s="20"/>
      <c r="D16" s="26"/>
      <c r="G16" s="23"/>
      <c r="H16" s="23"/>
      <c r="I16" s="19"/>
    </row>
    <row r="17" spans="1:9">
      <c r="A17" s="19"/>
      <c r="C17" s="20"/>
      <c r="D17" s="26"/>
      <c r="G17" s="23"/>
      <c r="H17" s="23"/>
      <c r="I17" s="19"/>
    </row>
    <row r="18" spans="1:9">
      <c r="A18" s="19"/>
      <c r="C18" s="20"/>
      <c r="D18" s="26"/>
      <c r="G18" s="23"/>
      <c r="H18" s="23"/>
      <c r="I18" s="19"/>
    </row>
    <row r="19" spans="1:9">
      <c r="A19" s="19"/>
      <c r="C19" s="20"/>
      <c r="D19" s="26"/>
      <c r="G19" s="23"/>
      <c r="H19" s="23"/>
      <c r="I19" s="19"/>
    </row>
    <row r="20" spans="1:9">
      <c r="A20" s="19"/>
      <c r="C20" s="20"/>
      <c r="D20" s="26"/>
      <c r="G20" s="23"/>
      <c r="H20" s="23"/>
      <c r="I20" s="19"/>
    </row>
    <row r="21" spans="1:9">
      <c r="A21" s="19"/>
      <c r="C21" s="20"/>
      <c r="D21" s="26"/>
      <c r="G21" s="23"/>
      <c r="H21" s="23"/>
      <c r="I21" s="19"/>
    </row>
    <row r="22" spans="1:9">
      <c r="A22" s="19"/>
      <c r="C22" s="20"/>
      <c r="D22" s="26"/>
      <c r="G22" s="23"/>
      <c r="H22" s="23"/>
      <c r="I22" s="19"/>
    </row>
    <row r="23" spans="1:9">
      <c r="A23" s="19"/>
      <c r="C23" s="20"/>
      <c r="D23" s="26"/>
      <c r="G23" s="23"/>
      <c r="H23" s="23"/>
      <c r="I23" s="19"/>
    </row>
    <row r="24" spans="1:9">
      <c r="A24" s="19"/>
      <c r="C24" s="20"/>
      <c r="D24" s="26"/>
      <c r="G24" s="23"/>
      <c r="H24" s="23"/>
      <c r="I24" s="19"/>
    </row>
    <row r="25" spans="1:9">
      <c r="A25" s="19"/>
      <c r="C25" s="20"/>
      <c r="D25" s="26"/>
      <c r="G25" s="23"/>
      <c r="H25" s="23"/>
      <c r="I25" s="19"/>
    </row>
    <row r="26" spans="1:9">
      <c r="A26" s="19"/>
      <c r="C26" s="20"/>
      <c r="D26" s="26"/>
      <c r="G26" s="23"/>
      <c r="H26" s="23"/>
      <c r="I26" s="19"/>
    </row>
    <row r="27" spans="1:9">
      <c r="A27" s="19"/>
      <c r="C27" s="20"/>
      <c r="D27" s="26"/>
      <c r="G27" s="23"/>
      <c r="H27" s="23"/>
      <c r="I27" s="19"/>
    </row>
    <row r="28" spans="1:9">
      <c r="A28" s="19"/>
      <c r="C28" s="20"/>
      <c r="D28" s="26"/>
      <c r="G28" s="23"/>
      <c r="H28" s="23"/>
      <c r="I28" s="19"/>
    </row>
    <row r="29" spans="1:9">
      <c r="A29" s="19"/>
      <c r="C29" s="20"/>
      <c r="D29" s="26"/>
      <c r="G29" s="23"/>
      <c r="H29" s="23"/>
      <c r="I29" s="19"/>
    </row>
    <row r="30" spans="1:9">
      <c r="A30" s="19"/>
      <c r="C30" s="20"/>
      <c r="D30" s="26"/>
    </row>
    <row r="31" spans="1:9">
      <c r="A31" s="19"/>
      <c r="C31" s="20"/>
      <c r="D31" s="26"/>
    </row>
    <row r="32" spans="1:9">
      <c r="A32" s="19"/>
      <c r="C32" s="20"/>
      <c r="D32" s="26"/>
    </row>
    <row r="33" spans="1:4">
      <c r="A33" s="19"/>
      <c r="C33" s="20"/>
      <c r="D33" s="26"/>
    </row>
    <row r="34" spans="1:4">
      <c r="A34" s="19"/>
      <c r="C34" s="20"/>
      <c r="D34" s="26"/>
    </row>
    <row r="35" spans="1:4">
      <c r="A35" s="19"/>
      <c r="C35" s="20"/>
      <c r="D35" s="26"/>
    </row>
    <row r="36" spans="1:4">
      <c r="A36" s="19"/>
      <c r="C36" s="20"/>
      <c r="D36" s="26"/>
    </row>
    <row r="37" spans="1:4">
      <c r="A37" s="19"/>
      <c r="C37" s="20"/>
      <c r="D37" s="26"/>
    </row>
    <row r="38" spans="1:4">
      <c r="A38" s="19"/>
      <c r="C38" s="20"/>
      <c r="D38" s="26"/>
    </row>
    <row r="39" spans="1:4">
      <c r="A39" s="19"/>
      <c r="C39" s="20"/>
      <c r="D39" s="26"/>
    </row>
    <row r="40" spans="1:4">
      <c r="A40" s="19"/>
      <c r="C40" s="20"/>
      <c r="D40" s="26"/>
    </row>
    <row r="41" spans="1:4">
      <c r="A41" s="19"/>
      <c r="C41" s="20"/>
      <c r="D41" s="26"/>
    </row>
    <row r="42" spans="1:4">
      <c r="A42" s="19"/>
      <c r="C42" s="20"/>
      <c r="D42" s="26"/>
    </row>
    <row r="43" spans="1:4">
      <c r="A43" s="19"/>
      <c r="C43" s="20"/>
      <c r="D43" s="26"/>
    </row>
    <row r="44" spans="1:4">
      <c r="A44" s="19"/>
      <c r="C44" s="20"/>
      <c r="D44" s="26"/>
    </row>
    <row r="45" spans="1:4">
      <c r="A45" s="19"/>
      <c r="C45" s="20"/>
      <c r="D45" s="26"/>
    </row>
    <row r="46" spans="1:4">
      <c r="A46" s="19"/>
      <c r="C46" s="20"/>
      <c r="D46" s="26"/>
    </row>
    <row r="47" spans="1:4">
      <c r="A47" s="19"/>
      <c r="C47" s="20"/>
      <c r="D47" s="26"/>
    </row>
    <row r="48" spans="1:4">
      <c r="A48" s="19"/>
      <c r="C48" s="20"/>
      <c r="D48" s="26"/>
    </row>
    <row r="49" spans="1:4">
      <c r="A49" s="19"/>
      <c r="C49" s="20"/>
      <c r="D49" s="26"/>
    </row>
    <row r="50" spans="1:4">
      <c r="A50" s="19"/>
      <c r="C50" s="20"/>
      <c r="D50" s="26"/>
    </row>
    <row r="51" spans="1:4">
      <c r="A51" s="19"/>
      <c r="C51" s="20"/>
      <c r="D51" s="26"/>
    </row>
    <row r="52" spans="1:4">
      <c r="A52" s="19"/>
      <c r="C52" s="20"/>
      <c r="D52" s="26"/>
    </row>
    <row r="53" spans="1:4">
      <c r="A53" s="19"/>
      <c r="C53" s="20"/>
      <c r="D53" s="26"/>
    </row>
    <row r="54" spans="1:4">
      <c r="A54" s="19"/>
      <c r="C54" s="20"/>
      <c r="D54" s="26"/>
    </row>
    <row r="55" spans="1:4">
      <c r="A55" s="19"/>
      <c r="C55" s="20"/>
      <c r="D55" s="26"/>
    </row>
    <row r="56" spans="1:4">
      <c r="A56" s="19"/>
      <c r="C56" s="20"/>
      <c r="D56" s="26"/>
    </row>
    <row r="57" spans="1:4">
      <c r="A57" s="19"/>
      <c r="C57" s="20"/>
      <c r="D57" s="26"/>
    </row>
    <row r="58" spans="1:4">
      <c r="A58" s="19"/>
      <c r="C58" s="20"/>
      <c r="D58" s="26"/>
    </row>
    <row r="59" spans="1:4">
      <c r="A59" s="19"/>
      <c r="C59" s="20"/>
      <c r="D59" s="26"/>
    </row>
    <row r="60" spans="1:4">
      <c r="A60" s="19"/>
      <c r="C60" s="20"/>
      <c r="D60" s="26"/>
    </row>
    <row r="61" spans="1:4">
      <c r="A61" s="19"/>
      <c r="C61" s="20"/>
      <c r="D61" s="26"/>
    </row>
    <row r="62" spans="1:4">
      <c r="A62" s="19"/>
      <c r="C62" s="20"/>
      <c r="D62" s="26"/>
    </row>
    <row r="63" spans="1:4">
      <c r="A63" s="19"/>
      <c r="C63" s="20"/>
      <c r="D63" s="26"/>
    </row>
    <row r="64" spans="1:4">
      <c r="A64" s="19"/>
      <c r="C64" s="20"/>
      <c r="D64" s="26"/>
    </row>
    <row r="65" spans="1:4">
      <c r="A65" s="19"/>
      <c r="C65" s="20"/>
      <c r="D65" s="26"/>
    </row>
    <row r="66" spans="1:4">
      <c r="A66" s="19"/>
      <c r="C66" s="20"/>
      <c r="D66" s="26"/>
    </row>
    <row r="67" spans="1:4">
      <c r="A67" s="19"/>
      <c r="C67" s="20"/>
      <c r="D67" s="26"/>
    </row>
    <row r="68" spans="1:4">
      <c r="A68" s="19"/>
      <c r="C68" s="20"/>
      <c r="D68" s="26"/>
    </row>
    <row r="69" spans="1:4">
      <c r="A69" s="19"/>
      <c r="C69" s="20"/>
      <c r="D69" s="26"/>
    </row>
    <row r="70" spans="1:4">
      <c r="A70" s="19"/>
      <c r="C70" s="20"/>
      <c r="D70" s="26"/>
    </row>
    <row r="71" spans="1:4">
      <c r="A71" s="19"/>
      <c r="C71" s="20"/>
      <c r="D71" s="26"/>
    </row>
    <row r="72" spans="1:4">
      <c r="A72" s="19"/>
      <c r="C72" s="20"/>
      <c r="D72" s="26"/>
    </row>
    <row r="73" spans="1:4">
      <c r="A73" s="19"/>
      <c r="C73" s="20"/>
      <c r="D73" s="26"/>
    </row>
    <row r="74" spans="1:4">
      <c r="A74" s="19"/>
      <c r="C74" s="20"/>
      <c r="D74" s="26"/>
    </row>
    <row r="75" spans="1:4">
      <c r="A75" s="19"/>
      <c r="C75" s="20"/>
      <c r="D75" s="26"/>
    </row>
    <row r="76" spans="1:4">
      <c r="A76" s="19"/>
      <c r="C76" s="20"/>
      <c r="D76" s="26"/>
    </row>
    <row r="77" spans="1:4">
      <c r="A77" s="19"/>
      <c r="C77" s="20"/>
      <c r="D77" s="26"/>
    </row>
    <row r="78" spans="1:4">
      <c r="A78" s="19"/>
      <c r="C78" s="20"/>
      <c r="D78" s="26"/>
    </row>
    <row r="79" spans="1:4">
      <c r="A79" s="19"/>
      <c r="C79" s="20"/>
      <c r="D79" s="26"/>
    </row>
    <row r="80" spans="1:4">
      <c r="A80" s="19"/>
      <c r="C80" s="20"/>
      <c r="D80" s="26"/>
    </row>
    <row r="81" spans="1:4">
      <c r="A81" s="19"/>
      <c r="C81" s="20"/>
      <c r="D81" s="26"/>
    </row>
    <row r="82" spans="1:4">
      <c r="A82" s="19"/>
      <c r="C82" s="20"/>
      <c r="D82" s="26"/>
    </row>
    <row r="83" spans="1:4">
      <c r="A83" s="19"/>
      <c r="C83" s="20"/>
      <c r="D83" s="26"/>
    </row>
    <row r="84" spans="1:4">
      <c r="A84" s="19"/>
      <c r="C84" s="20"/>
      <c r="D84" s="26"/>
    </row>
    <row r="85" spans="1:4">
      <c r="A85" s="19"/>
      <c r="C85" s="20"/>
      <c r="D85" s="26"/>
    </row>
    <row r="86" spans="1:4">
      <c r="A86" s="19"/>
      <c r="C86" s="20"/>
      <c r="D86" s="26"/>
    </row>
    <row r="87" spans="1:4">
      <c r="A87" s="19"/>
      <c r="C87" s="20"/>
      <c r="D87" s="26"/>
    </row>
    <row r="88" spans="1:4">
      <c r="A88" s="19"/>
      <c r="C88" s="20"/>
      <c r="D88" s="26"/>
    </row>
    <row r="89" spans="1:4">
      <c r="A89" s="19"/>
      <c r="C89" s="20"/>
      <c r="D89" s="26"/>
    </row>
    <row r="90" spans="1:4">
      <c r="A90" s="19"/>
      <c r="C90" s="20"/>
      <c r="D90" s="26"/>
    </row>
    <row r="91" spans="1:4">
      <c r="A91" s="19"/>
      <c r="C91" s="20"/>
      <c r="D91" s="26"/>
    </row>
    <row r="92" spans="1:4">
      <c r="A92" s="19"/>
      <c r="C92" s="20"/>
      <c r="D92" s="26"/>
    </row>
    <row r="93" spans="1:4">
      <c r="A93" s="19"/>
      <c r="C93" s="20"/>
      <c r="D93" s="26"/>
    </row>
    <row r="94" spans="1:4">
      <c r="A94" s="19"/>
      <c r="C94" s="20"/>
      <c r="D94" s="26"/>
    </row>
    <row r="95" spans="1:4">
      <c r="A95" s="19"/>
      <c r="C95" s="20"/>
      <c r="D95" s="26"/>
    </row>
    <row r="96" spans="1:4">
      <c r="A96" s="19"/>
      <c r="C96" s="20"/>
      <c r="D96" s="26"/>
    </row>
    <row r="97" spans="1:4">
      <c r="A97" s="19"/>
      <c r="C97" s="20"/>
      <c r="D97" s="26"/>
    </row>
    <row r="98" spans="1:4">
      <c r="A98" s="19"/>
      <c r="C98" s="20"/>
      <c r="D98" s="26"/>
    </row>
    <row r="99" spans="1:4">
      <c r="A99" s="19"/>
      <c r="C99" s="20"/>
      <c r="D99" s="26"/>
    </row>
    <row r="100" spans="1:4">
      <c r="A100" s="19"/>
      <c r="C100" s="20"/>
      <c r="D100" s="26"/>
    </row>
    <row r="101" spans="1:4">
      <c r="A101" s="19"/>
      <c r="C101" s="20"/>
      <c r="D101" s="26"/>
    </row>
    <row r="102" spans="1:4">
      <c r="A102" s="19"/>
      <c r="C102" s="20"/>
      <c r="D102" s="26"/>
    </row>
    <row r="103" spans="1:4">
      <c r="A103" s="19"/>
      <c r="C103" s="20"/>
      <c r="D103" s="26"/>
    </row>
    <row r="104" spans="1:4">
      <c r="A104" s="19"/>
      <c r="C104" s="20"/>
      <c r="D104" s="26"/>
    </row>
    <row r="105" spans="1:4">
      <c r="A105" s="19"/>
      <c r="C105" s="20"/>
      <c r="D105" s="26"/>
    </row>
    <row r="106" spans="1:4">
      <c r="A106" s="19"/>
      <c r="C106" s="20"/>
      <c r="D106" s="26"/>
    </row>
    <row r="107" spans="1:4">
      <c r="A107" s="19"/>
      <c r="C107" s="20"/>
      <c r="D107" s="26"/>
    </row>
    <row r="108" spans="1:4">
      <c r="A108" s="19"/>
      <c r="C108" s="20"/>
      <c r="D108" s="26"/>
    </row>
    <row r="109" spans="1:4">
      <c r="A109" s="19"/>
      <c r="C109" s="20"/>
      <c r="D109" s="26"/>
    </row>
    <row r="110" spans="1:4">
      <c r="A110" s="19"/>
      <c r="C110" s="20"/>
      <c r="D110" s="26"/>
    </row>
    <row r="111" spans="1:4">
      <c r="A111" s="19"/>
      <c r="C111" s="20"/>
      <c r="D111" s="26"/>
    </row>
    <row r="112" spans="1:4">
      <c r="A112" s="19"/>
      <c r="C112" s="20"/>
      <c r="D112" s="26"/>
    </row>
    <row r="113" spans="1:4">
      <c r="A113" s="19"/>
      <c r="C113" s="20"/>
      <c r="D113" s="26"/>
    </row>
    <row r="114" spans="1:4">
      <c r="A114" s="19"/>
      <c r="C114" s="20"/>
      <c r="D114" s="26"/>
    </row>
    <row r="115" spans="1:4">
      <c r="A115" s="19"/>
      <c r="C115" s="20"/>
      <c r="D115" s="26"/>
    </row>
    <row r="116" spans="1:4">
      <c r="A116" s="19"/>
      <c r="C116" s="20"/>
      <c r="D116" s="26"/>
    </row>
    <row r="117" spans="1:4">
      <c r="A117" s="19"/>
      <c r="C117" s="20"/>
      <c r="D117" s="26"/>
    </row>
    <row r="118" spans="1:4">
      <c r="A118" s="19"/>
      <c r="C118" s="20"/>
      <c r="D118" s="26"/>
    </row>
    <row r="119" spans="1:4">
      <c r="A119" s="19"/>
      <c r="C119" s="20"/>
      <c r="D119" s="26"/>
    </row>
    <row r="120" spans="1:4">
      <c r="A120" s="19"/>
      <c r="C120" s="20"/>
      <c r="D120" s="26"/>
    </row>
    <row r="121" spans="1:4">
      <c r="A121" s="19"/>
      <c r="C121" s="20"/>
      <c r="D121" s="26"/>
    </row>
    <row r="122" spans="1:4">
      <c r="A122" s="19"/>
      <c r="C122" s="20"/>
      <c r="D122" s="26"/>
    </row>
    <row r="123" spans="1:4">
      <c r="A123" s="19"/>
      <c r="C123" s="20"/>
      <c r="D123" s="26"/>
    </row>
    <row r="124" spans="1:4">
      <c r="A124" s="19"/>
      <c r="C124" s="20"/>
      <c r="D124" s="26"/>
    </row>
    <row r="125" spans="1:4">
      <c r="A125" s="19"/>
      <c r="C125" s="20"/>
      <c r="D125" s="26"/>
    </row>
    <row r="126" spans="1:4">
      <c r="A126" s="19"/>
      <c r="C126" s="20"/>
      <c r="D126" s="26"/>
    </row>
    <row r="127" spans="1:4">
      <c r="A127" s="19"/>
      <c r="C127" s="20"/>
      <c r="D127" s="26"/>
    </row>
    <row r="128" spans="1:4">
      <c r="A128" s="19"/>
      <c r="C128" s="20"/>
      <c r="D128" s="26"/>
    </row>
    <row r="129" spans="1:4">
      <c r="A129" s="19"/>
      <c r="C129" s="20"/>
      <c r="D129" s="26"/>
    </row>
    <row r="130" spans="1:4">
      <c r="A130" s="19"/>
      <c r="C130" s="20"/>
      <c r="D130" s="26"/>
    </row>
    <row r="131" spans="1:4">
      <c r="A131" s="19"/>
      <c r="C131" s="20"/>
      <c r="D131" s="26"/>
    </row>
    <row r="132" spans="1:4">
      <c r="A132" s="19"/>
      <c r="C132" s="20"/>
      <c r="D132" s="26"/>
    </row>
    <row r="133" spans="1:4">
      <c r="A133" s="19"/>
      <c r="C133" s="20"/>
      <c r="D133" s="26"/>
    </row>
    <row r="134" spans="1:4">
      <c r="A134" s="19"/>
      <c r="C134" s="20"/>
      <c r="D134" s="26"/>
    </row>
    <row r="135" spans="1:4">
      <c r="A135" s="19"/>
      <c r="C135" s="20"/>
      <c r="D135" s="26"/>
    </row>
    <row r="136" spans="1:4">
      <c r="A136" s="19"/>
      <c r="C136" s="20"/>
      <c r="D136" s="26"/>
    </row>
    <row r="137" spans="1:4">
      <c r="A137" s="19"/>
      <c r="C137" s="20"/>
      <c r="D137" s="26"/>
    </row>
    <row r="138" spans="1:4">
      <c r="A138" s="19"/>
      <c r="C138" s="20"/>
      <c r="D138" s="26"/>
    </row>
    <row r="139" spans="1:4">
      <c r="A139" s="19"/>
      <c r="C139" s="20"/>
      <c r="D139" s="26"/>
    </row>
    <row r="140" spans="1:4">
      <c r="A140" s="19"/>
      <c r="C140" s="20"/>
      <c r="D140" s="26"/>
    </row>
    <row r="141" spans="1:4">
      <c r="A141" s="19"/>
      <c r="C141" s="20"/>
      <c r="D141" s="26"/>
    </row>
    <row r="142" spans="1:4">
      <c r="A142" s="19"/>
      <c r="C142" s="20"/>
      <c r="D142" s="26"/>
    </row>
    <row r="143" spans="1:4">
      <c r="A143" s="19"/>
      <c r="C143" s="20"/>
      <c r="D143" s="26"/>
    </row>
    <row r="144" spans="1:4">
      <c r="A144" s="19"/>
      <c r="C144" s="20"/>
      <c r="D144" s="26"/>
    </row>
    <row r="145" spans="1:4">
      <c r="A145" s="19"/>
      <c r="C145" s="20"/>
      <c r="D145" s="26"/>
    </row>
    <row r="146" spans="1:4">
      <c r="A146" s="19"/>
      <c r="C146" s="20"/>
      <c r="D146" s="26"/>
    </row>
    <row r="147" spans="1:4">
      <c r="A147" s="19"/>
      <c r="C147" s="20"/>
      <c r="D147" s="26"/>
    </row>
    <row r="148" spans="1:4">
      <c r="A148" s="19"/>
      <c r="C148" s="20"/>
      <c r="D148" s="26"/>
    </row>
    <row r="149" spans="1:4">
      <c r="A149" s="19"/>
      <c r="C149" s="20"/>
      <c r="D149" s="26"/>
    </row>
    <row r="150" spans="1:4">
      <c r="A150" s="19"/>
      <c r="C150" s="20"/>
      <c r="D150" s="26"/>
    </row>
    <row r="151" spans="1:4">
      <c r="A151" s="19"/>
      <c r="C151" s="20"/>
      <c r="D151" s="26"/>
    </row>
    <row r="152" spans="1:4">
      <c r="A152" s="19"/>
      <c r="C152" s="20"/>
      <c r="D152" s="26"/>
    </row>
    <row r="153" spans="1:4">
      <c r="A153" s="19"/>
      <c r="C153" s="20"/>
      <c r="D153" s="26"/>
    </row>
    <row r="154" spans="1:4">
      <c r="A154" s="19"/>
      <c r="C154" s="20"/>
      <c r="D154" s="26"/>
    </row>
    <row r="155" spans="1:4">
      <c r="A155" s="19"/>
      <c r="C155" s="20"/>
      <c r="D155" s="26"/>
    </row>
    <row r="156" spans="1:4">
      <c r="A156" s="19"/>
      <c r="C156" s="20"/>
      <c r="D156" s="26"/>
    </row>
    <row r="157" spans="1:4">
      <c r="A157" s="19"/>
      <c r="C157" s="20"/>
      <c r="D157" s="26"/>
    </row>
    <row r="158" spans="1:4">
      <c r="A158" s="19"/>
      <c r="C158" s="20"/>
      <c r="D158" s="26"/>
    </row>
    <row r="159" spans="1:4">
      <c r="A159" s="19"/>
      <c r="C159" s="20"/>
      <c r="D159" s="26"/>
    </row>
    <row r="160" spans="1:4">
      <c r="A160" s="19"/>
      <c r="C160" s="20"/>
      <c r="D160" s="26"/>
    </row>
    <row r="161" spans="1:4">
      <c r="A161" s="19"/>
      <c r="C161" s="20"/>
      <c r="D161" s="26"/>
    </row>
    <row r="162" spans="1:4">
      <c r="A162" s="19"/>
      <c r="C162" s="20"/>
      <c r="D162" s="26"/>
    </row>
    <row r="163" spans="1:4">
      <c r="A163" s="19"/>
      <c r="C163" s="20"/>
      <c r="D163" s="26"/>
    </row>
    <row r="164" spans="1:4">
      <c r="A164" s="19"/>
      <c r="C164" s="20"/>
      <c r="D164" s="26"/>
    </row>
    <row r="165" spans="1:4">
      <c r="A165" s="19"/>
      <c r="C165" s="20"/>
      <c r="D165" s="26"/>
    </row>
    <row r="166" spans="1:4">
      <c r="A166" s="19"/>
      <c r="C166" s="20"/>
      <c r="D166" s="26"/>
    </row>
    <row r="167" spans="1:4">
      <c r="A167" s="19"/>
      <c r="C167" s="20"/>
      <c r="D167" s="26"/>
    </row>
    <row r="168" spans="1:4">
      <c r="A168" s="19"/>
      <c r="C168" s="20"/>
      <c r="D168" s="26"/>
    </row>
    <row r="169" spans="1:4">
      <c r="A169" s="19"/>
      <c r="C169" s="20"/>
      <c r="D169" s="26"/>
    </row>
    <row r="170" spans="1:4">
      <c r="A170" s="19"/>
      <c r="C170" s="20"/>
      <c r="D170" s="26"/>
    </row>
    <row r="171" spans="1:4">
      <c r="A171" s="19"/>
      <c r="C171" s="20"/>
      <c r="D171" s="26"/>
    </row>
    <row r="172" spans="1:4">
      <c r="A172" s="19"/>
      <c r="C172" s="20"/>
      <c r="D172" s="26"/>
    </row>
    <row r="173" spans="1:4">
      <c r="A173" s="19"/>
      <c r="C173" s="20"/>
      <c r="D173" s="26"/>
    </row>
    <row r="174" spans="1:4">
      <c r="A174" s="19"/>
      <c r="C174" s="20"/>
      <c r="D174" s="26"/>
    </row>
    <row r="175" spans="1:4">
      <c r="A175" s="19"/>
      <c r="C175" s="20"/>
      <c r="D175" s="26"/>
    </row>
    <row r="176" spans="1:4">
      <c r="A176" s="19"/>
      <c r="C176" s="20"/>
      <c r="D176" s="26"/>
    </row>
    <row r="177" spans="1:4">
      <c r="A177" s="19"/>
      <c r="C177" s="20"/>
      <c r="D177" s="26"/>
    </row>
    <row r="178" spans="1:4">
      <c r="A178" s="19"/>
      <c r="C178" s="20"/>
      <c r="D178" s="26"/>
    </row>
    <row r="179" spans="1:4">
      <c r="A179" s="19"/>
      <c r="C179" s="20"/>
      <c r="D179" s="26"/>
    </row>
    <row r="180" spans="1:4">
      <c r="A180" s="19"/>
      <c r="C180" s="20"/>
      <c r="D180" s="26"/>
    </row>
    <row r="181" spans="1:4">
      <c r="A181" s="19"/>
      <c r="C181" s="20"/>
      <c r="D181" s="26"/>
    </row>
    <row r="182" spans="1:4">
      <c r="A182" s="19"/>
      <c r="C182" s="20"/>
      <c r="D182" s="26"/>
    </row>
    <row r="183" spans="1:4">
      <c r="A183" s="19"/>
      <c r="C183" s="20"/>
      <c r="D183" s="26"/>
    </row>
    <row r="184" spans="1:4">
      <c r="A184" s="19"/>
      <c r="C184" s="20"/>
      <c r="D184" s="26"/>
    </row>
    <row r="185" spans="1:4">
      <c r="A185" s="19"/>
      <c r="C185" s="20"/>
      <c r="D185" s="26"/>
    </row>
    <row r="186" spans="1:4">
      <c r="A186" s="19"/>
      <c r="C186" s="20"/>
      <c r="D186" s="26"/>
    </row>
    <row r="187" spans="1:4">
      <c r="A187" s="19"/>
      <c r="C187" s="20"/>
      <c r="D187" s="26"/>
    </row>
    <row r="188" spans="1:4">
      <c r="A188" s="19"/>
      <c r="C188" s="20"/>
      <c r="D188" s="26"/>
    </row>
    <row r="189" spans="1:4">
      <c r="A189" s="19"/>
      <c r="C189" s="20"/>
      <c r="D189" s="26"/>
    </row>
    <row r="190" spans="1:4">
      <c r="A190" s="19"/>
      <c r="C190" s="20"/>
      <c r="D190" s="26"/>
    </row>
    <row r="191" spans="1:4">
      <c r="A191" s="19"/>
      <c r="C191" s="20"/>
      <c r="D191" s="26"/>
    </row>
    <row r="192" spans="1:4">
      <c r="A192" s="19"/>
      <c r="C192" s="20"/>
      <c r="D192" s="26"/>
    </row>
    <row r="193" spans="1:4">
      <c r="A193" s="19"/>
      <c r="C193" s="20"/>
      <c r="D193" s="26"/>
    </row>
    <row r="194" spans="1:4">
      <c r="A194" s="19"/>
      <c r="C194" s="20"/>
      <c r="D194" s="26"/>
    </row>
    <row r="195" spans="1:4">
      <c r="A195" s="19"/>
      <c r="C195" s="20"/>
      <c r="D195" s="26"/>
    </row>
    <row r="196" spans="1:4">
      <c r="A196" s="19"/>
      <c r="C196" s="20"/>
      <c r="D196" s="26"/>
    </row>
    <row r="197" spans="1:4">
      <c r="A197" s="19"/>
      <c r="C197" s="20"/>
      <c r="D197" s="26"/>
    </row>
    <row r="198" spans="1:4">
      <c r="A198" s="19"/>
      <c r="C198" s="20"/>
      <c r="D198" s="26"/>
    </row>
    <row r="199" spans="1:4">
      <c r="A199" s="19"/>
      <c r="C199" s="20"/>
      <c r="D199" s="26"/>
    </row>
    <row r="200" spans="1:4">
      <c r="A200" s="19"/>
      <c r="C200" s="20"/>
      <c r="D200" s="26"/>
    </row>
    <row r="201" spans="1:4">
      <c r="A201" s="19"/>
      <c r="C201" s="20"/>
      <c r="D201" s="26"/>
    </row>
    <row r="202" spans="1:4">
      <c r="A202" s="19"/>
      <c r="C202" s="20"/>
      <c r="D202" s="26"/>
    </row>
    <row r="203" spans="1:4">
      <c r="A203" s="19"/>
      <c r="C203" s="20"/>
      <c r="D203" s="26"/>
    </row>
    <row r="204" spans="1:4">
      <c r="A204" s="19"/>
      <c r="C204" s="20"/>
      <c r="D204" s="26"/>
    </row>
    <row r="205" spans="1:4">
      <c r="A205" s="19"/>
      <c r="C205" s="20"/>
      <c r="D205" s="26"/>
    </row>
    <row r="206" spans="1:4">
      <c r="A206" s="19"/>
      <c r="C206" s="20"/>
      <c r="D206" s="26"/>
    </row>
    <row r="207" spans="1:4">
      <c r="A207" s="19"/>
      <c r="C207" s="20"/>
      <c r="D207" s="26"/>
    </row>
    <row r="208" spans="1:4">
      <c r="A208" s="19"/>
      <c r="C208" s="20"/>
      <c r="D208" s="26"/>
    </row>
    <row r="209" spans="1:4">
      <c r="A209" s="19"/>
      <c r="C209" s="20"/>
      <c r="D209" s="26"/>
    </row>
    <row r="210" spans="1:4">
      <c r="A210" s="19"/>
      <c r="C210" s="20"/>
      <c r="D210" s="26"/>
    </row>
    <row r="211" spans="1:4">
      <c r="A211" s="19"/>
      <c r="C211" s="20"/>
      <c r="D211" s="26"/>
    </row>
    <row r="212" spans="1:4">
      <c r="A212" s="19"/>
      <c r="C212" s="20"/>
      <c r="D212" s="26"/>
    </row>
    <row r="213" spans="1:4">
      <c r="A213" s="19"/>
      <c r="C213" s="20"/>
      <c r="D213" s="26"/>
    </row>
    <row r="214" spans="1:4">
      <c r="A214" s="19"/>
      <c r="C214" s="20"/>
      <c r="D214" s="26"/>
    </row>
    <row r="215" spans="1:4">
      <c r="A215" s="19"/>
      <c r="C215" s="20"/>
      <c r="D215" s="26"/>
    </row>
    <row r="216" spans="1:4">
      <c r="A216" s="19"/>
      <c r="C216" s="20"/>
      <c r="D216" s="26"/>
    </row>
    <row r="217" spans="1:4">
      <c r="A217" s="19"/>
      <c r="C217" s="20"/>
      <c r="D217" s="26"/>
    </row>
    <row r="218" spans="1:4">
      <c r="A218" s="19"/>
      <c r="C218" s="20"/>
      <c r="D218" s="26"/>
    </row>
    <row r="219" spans="1:4">
      <c r="A219" s="19"/>
      <c r="C219" s="20"/>
      <c r="D219" s="26"/>
    </row>
    <row r="220" spans="1:4">
      <c r="A220" s="19"/>
      <c r="C220" s="20"/>
      <c r="D220" s="26"/>
    </row>
    <row r="221" spans="1:4">
      <c r="A221" s="19"/>
      <c r="C221" s="20"/>
      <c r="D221" s="26"/>
    </row>
    <row r="222" spans="1:4">
      <c r="A222" s="19"/>
      <c r="C222" s="20"/>
      <c r="D222" s="26"/>
    </row>
    <row r="223" spans="1:4">
      <c r="A223" s="19"/>
      <c r="C223" s="20"/>
      <c r="D223" s="26"/>
    </row>
    <row r="224" spans="1:4">
      <c r="A224" s="19"/>
      <c r="C224" s="20"/>
      <c r="D224" s="26"/>
    </row>
    <row r="225" spans="1:4">
      <c r="A225" s="19"/>
      <c r="C225" s="20"/>
      <c r="D225" s="26"/>
    </row>
    <row r="226" spans="1:4">
      <c r="A226" s="19"/>
      <c r="C226" s="20"/>
      <c r="D226" s="26"/>
    </row>
    <row r="227" spans="1:4">
      <c r="A227" s="19"/>
      <c r="C227" s="20"/>
      <c r="D227" s="26"/>
    </row>
    <row r="228" spans="1:4">
      <c r="A228" s="19"/>
      <c r="C228" s="20"/>
      <c r="D228" s="26"/>
    </row>
    <row r="229" spans="1:4">
      <c r="A229" s="19"/>
      <c r="C229" s="20"/>
      <c r="D229" s="26"/>
    </row>
    <row r="230" spans="1:4">
      <c r="A230" s="19"/>
      <c r="C230" s="20"/>
      <c r="D230" s="26"/>
    </row>
    <row r="231" spans="1:4">
      <c r="A231" s="19"/>
      <c r="C231" s="20"/>
      <c r="D231" s="26"/>
    </row>
    <row r="232" spans="1:4">
      <c r="A232" s="19"/>
      <c r="C232" s="20"/>
      <c r="D232" s="26"/>
    </row>
    <row r="233" spans="1:4">
      <c r="A233" s="19"/>
      <c r="C233" s="20"/>
      <c r="D233" s="26"/>
    </row>
    <row r="234" spans="1:4">
      <c r="A234" s="19"/>
      <c r="C234" s="20"/>
      <c r="D234" s="26"/>
    </row>
    <row r="235" spans="1:4">
      <c r="A235" s="19"/>
      <c r="C235" s="20"/>
      <c r="D235" s="26"/>
    </row>
    <row r="236" spans="1:4">
      <c r="A236" s="19"/>
      <c r="C236" s="20"/>
      <c r="D236" s="26"/>
    </row>
    <row r="237" spans="1:4">
      <c r="A237" s="19"/>
      <c r="C237" s="20"/>
      <c r="D237" s="26"/>
    </row>
    <row r="238" spans="1:4">
      <c r="A238" s="19"/>
      <c r="C238" s="20"/>
      <c r="D238" s="26"/>
    </row>
    <row r="239" spans="1:4">
      <c r="A239" s="19"/>
      <c r="C239" s="20"/>
      <c r="D239" s="26"/>
    </row>
    <row r="240" spans="1:4">
      <c r="A240" s="19"/>
      <c r="C240" s="20"/>
      <c r="D240" s="26"/>
    </row>
    <row r="241" spans="1:4">
      <c r="A241" s="19"/>
      <c r="C241" s="20"/>
      <c r="D241" s="26"/>
    </row>
    <row r="242" spans="1:4">
      <c r="A242" s="19"/>
      <c r="C242" s="20"/>
      <c r="D242" s="26"/>
    </row>
    <row r="243" spans="1:4">
      <c r="A243" s="19"/>
      <c r="C243" s="20"/>
      <c r="D243" s="26"/>
    </row>
    <row r="244" spans="1:4">
      <c r="A244" s="19"/>
      <c r="C244" s="20"/>
      <c r="D244" s="26"/>
    </row>
    <row r="245" spans="1:4">
      <c r="A245" s="19"/>
      <c r="C245" s="20"/>
      <c r="D245" s="26"/>
    </row>
    <row r="246" spans="1:4">
      <c r="A246" s="19"/>
      <c r="C246" s="20"/>
      <c r="D246" s="26"/>
    </row>
    <row r="247" spans="1:4">
      <c r="A247" s="19"/>
      <c r="C247" s="20"/>
      <c r="D247" s="26"/>
    </row>
    <row r="248" spans="1:4">
      <c r="A248" s="19"/>
      <c r="C248" s="20"/>
      <c r="D248" s="26"/>
    </row>
    <row r="249" spans="1:4">
      <c r="A249" s="19"/>
      <c r="C249" s="20"/>
      <c r="D249" s="26"/>
    </row>
    <row r="250" spans="1:4">
      <c r="A250" s="19"/>
      <c r="C250" s="20"/>
      <c r="D250" s="26"/>
    </row>
    <row r="251" spans="1:4">
      <c r="A251" s="19"/>
      <c r="C251" s="20"/>
      <c r="D251" s="26"/>
    </row>
    <row r="252" spans="1:4">
      <c r="A252" s="19"/>
      <c r="C252" s="20"/>
      <c r="D252" s="26"/>
    </row>
    <row r="253" spans="1:4">
      <c r="A253" s="19"/>
      <c r="C253" s="20"/>
      <c r="D253" s="26"/>
    </row>
    <row r="254" spans="1:4">
      <c r="A254" s="19"/>
      <c r="C254" s="20"/>
      <c r="D254" s="26"/>
    </row>
    <row r="255" spans="1:4">
      <c r="A255" s="19"/>
      <c r="C255" s="20"/>
      <c r="D255" s="26"/>
    </row>
    <row r="256" spans="1:4">
      <c r="A256" s="19"/>
      <c r="C256" s="20"/>
      <c r="D256" s="26"/>
    </row>
    <row r="257" spans="1:4">
      <c r="A257" s="19"/>
      <c r="C257" s="20"/>
      <c r="D257" s="26"/>
    </row>
    <row r="258" spans="1:4">
      <c r="A258" s="19"/>
      <c r="C258" s="20"/>
      <c r="D258" s="26"/>
    </row>
    <row r="259" spans="1:4">
      <c r="A259" s="19"/>
      <c r="C259" s="20"/>
      <c r="D259" s="26"/>
    </row>
    <row r="260" spans="1:4">
      <c r="A260" s="19"/>
      <c r="C260" s="20"/>
      <c r="D260" s="26"/>
    </row>
    <row r="261" spans="1:4">
      <c r="A261" s="19"/>
      <c r="C261" s="20"/>
      <c r="D261" s="26"/>
    </row>
    <row r="262" spans="1:4">
      <c r="A262" s="19"/>
      <c r="C262" s="20"/>
      <c r="D262" s="26"/>
    </row>
    <row r="263" spans="1:4">
      <c r="A263" s="19"/>
      <c r="C263" s="20"/>
      <c r="D263" s="26"/>
    </row>
    <row r="264" spans="1:4">
      <c r="A264" s="19"/>
      <c r="C264" s="20"/>
      <c r="D264" s="26"/>
    </row>
    <row r="265" spans="1:4">
      <c r="A265" s="19"/>
      <c r="C265" s="20"/>
      <c r="D265" s="26"/>
    </row>
    <row r="266" spans="1:4">
      <c r="A266" s="19"/>
      <c r="C266" s="20"/>
      <c r="D266" s="26"/>
    </row>
    <row r="267" spans="1:4">
      <c r="A267" s="19"/>
      <c r="C267" s="20"/>
      <c r="D267" s="26"/>
    </row>
    <row r="268" spans="1:4">
      <c r="A268" s="19"/>
      <c r="C268" s="20"/>
      <c r="D268" s="26"/>
    </row>
    <row r="269" spans="1:4">
      <c r="A269" s="19"/>
      <c r="C269" s="20"/>
      <c r="D269" s="26"/>
    </row>
    <row r="270" spans="1:4">
      <c r="A270" s="19"/>
      <c r="C270" s="20"/>
      <c r="D270" s="26"/>
    </row>
    <row r="271" spans="1:4">
      <c r="A271" s="19"/>
      <c r="C271" s="20"/>
      <c r="D271" s="26"/>
    </row>
    <row r="272" spans="1:4">
      <c r="A272" s="19"/>
      <c r="C272" s="20"/>
      <c r="D272" s="26"/>
    </row>
    <row r="273" spans="1:4">
      <c r="A273" s="19"/>
      <c r="C273" s="20"/>
      <c r="D273" s="26"/>
    </row>
    <row r="274" spans="1:4">
      <c r="A274" s="19"/>
      <c r="C274" s="20"/>
      <c r="D274" s="26"/>
    </row>
    <row r="275" spans="1:4">
      <c r="A275" s="19"/>
      <c r="C275" s="20"/>
      <c r="D275" s="26"/>
    </row>
    <row r="276" spans="1:4">
      <c r="A276" s="19"/>
      <c r="C276" s="20"/>
      <c r="D276" s="26"/>
    </row>
    <row r="277" spans="1:4">
      <c r="A277" s="19"/>
      <c r="C277" s="20"/>
      <c r="D277" s="26"/>
    </row>
    <row r="278" spans="1:4">
      <c r="A278" s="19"/>
      <c r="C278" s="20"/>
      <c r="D278" s="26"/>
    </row>
    <row r="279" spans="1:4">
      <c r="A279" s="19"/>
      <c r="C279" s="20"/>
      <c r="D279" s="26"/>
    </row>
    <row r="280" spans="1:4">
      <c r="A280" s="19"/>
      <c r="C280" s="20"/>
      <c r="D280" s="26"/>
    </row>
    <row r="281" spans="1:4">
      <c r="A281" s="19"/>
      <c r="C281" s="20"/>
      <c r="D281" s="26"/>
    </row>
    <row r="282" spans="1:4">
      <c r="A282" s="19"/>
      <c r="C282" s="20"/>
      <c r="D282" s="26"/>
    </row>
    <row r="283" spans="1:4">
      <c r="A283" s="19"/>
      <c r="C283" s="20"/>
      <c r="D283" s="26"/>
    </row>
    <row r="284" spans="1:4">
      <c r="A284" s="19"/>
      <c r="C284" s="20"/>
      <c r="D284" s="26"/>
    </row>
    <row r="285" spans="1:4">
      <c r="A285" s="19"/>
      <c r="C285" s="20"/>
      <c r="D285" s="26"/>
    </row>
    <row r="286" spans="1:4">
      <c r="A286" s="19"/>
      <c r="C286" s="20"/>
      <c r="D286" s="26"/>
    </row>
    <row r="287" spans="1:4">
      <c r="A287" s="19"/>
      <c r="C287" s="20"/>
      <c r="D287" s="26"/>
    </row>
    <row r="288" spans="1:4">
      <c r="A288" s="19"/>
      <c r="C288" s="20"/>
      <c r="D288" s="26"/>
    </row>
    <row r="289" spans="1:4">
      <c r="A289" s="19"/>
      <c r="C289" s="20"/>
      <c r="D289" s="26"/>
    </row>
    <row r="290" spans="1:4">
      <c r="A290" s="19"/>
      <c r="C290" s="20"/>
      <c r="D290" s="26"/>
    </row>
    <row r="291" spans="1:4">
      <c r="A291" s="19"/>
      <c r="C291" s="20"/>
      <c r="D291" s="26"/>
    </row>
    <row r="292" spans="1:4">
      <c r="A292" s="19"/>
      <c r="C292" s="20"/>
      <c r="D292" s="26"/>
    </row>
    <row r="293" spans="1:4">
      <c r="A293" s="19"/>
      <c r="C293" s="20"/>
      <c r="D293" s="26"/>
    </row>
    <row r="294" spans="1:4">
      <c r="A294" s="19"/>
      <c r="C294" s="20"/>
      <c r="D294" s="26"/>
    </row>
    <row r="295" spans="1:4">
      <c r="A295" s="19"/>
      <c r="C295" s="20"/>
      <c r="D295" s="26"/>
    </row>
    <row r="296" spans="1:4">
      <c r="A296" s="19"/>
      <c r="C296" s="20"/>
      <c r="D296" s="26"/>
    </row>
    <row r="297" spans="1:4">
      <c r="A297" s="19"/>
      <c r="C297" s="20"/>
      <c r="D297" s="26"/>
    </row>
    <row r="298" spans="1:4">
      <c r="A298" s="19"/>
      <c r="C298" s="20"/>
      <c r="D298" s="26"/>
    </row>
    <row r="299" spans="1:4">
      <c r="A299" s="19"/>
      <c r="C299" s="20"/>
      <c r="D299" s="26"/>
    </row>
    <row r="300" spans="1:4">
      <c r="A300" s="19"/>
      <c r="C300" s="20"/>
      <c r="D300" s="26"/>
    </row>
    <row r="301" spans="1:4">
      <c r="A301" s="19"/>
      <c r="C301" s="20"/>
      <c r="D301" s="26"/>
    </row>
    <row r="302" spans="1:4">
      <c r="A302" s="19"/>
      <c r="C302" s="20"/>
      <c r="D302" s="26"/>
    </row>
    <row r="303" spans="1:4">
      <c r="A303" s="19"/>
      <c r="C303" s="20"/>
      <c r="D303" s="26"/>
    </row>
    <row r="304" spans="1:4">
      <c r="A304" s="19"/>
      <c r="C304" s="20"/>
      <c r="D304" s="26"/>
    </row>
    <row r="305" spans="1:4">
      <c r="A305" s="19"/>
      <c r="C305" s="20"/>
      <c r="D305" s="26"/>
    </row>
    <row r="306" spans="1:4">
      <c r="A306" s="19"/>
      <c r="C306" s="20"/>
      <c r="D306" s="26"/>
    </row>
    <row r="307" spans="1:4">
      <c r="A307" s="19"/>
      <c r="C307" s="20"/>
      <c r="D307" s="26"/>
    </row>
    <row r="308" spans="1:4">
      <c r="A308" s="19"/>
      <c r="C308" s="20"/>
      <c r="D308" s="26"/>
    </row>
    <row r="309" spans="1:4">
      <c r="A309" s="19"/>
      <c r="C309" s="20"/>
      <c r="D309" s="26"/>
    </row>
    <row r="310" spans="1:4">
      <c r="A310" s="19"/>
      <c r="C310" s="20"/>
      <c r="D310" s="26"/>
    </row>
    <row r="311" spans="1:4">
      <c r="A311" s="19"/>
      <c r="C311" s="20"/>
      <c r="D311" s="26"/>
    </row>
    <row r="312" spans="1:4">
      <c r="A312" s="19"/>
      <c r="C312" s="20"/>
      <c r="D312" s="26"/>
    </row>
    <row r="313" spans="1:4">
      <c r="A313" s="19"/>
      <c r="C313" s="20"/>
      <c r="D313" s="26"/>
    </row>
    <row r="314" spans="1:4">
      <c r="A314" s="19"/>
      <c r="C314" s="20"/>
      <c r="D314" s="26"/>
    </row>
    <row r="315" spans="1:4">
      <c r="A315" s="19"/>
      <c r="C315" s="20"/>
      <c r="D315" s="26"/>
    </row>
    <row r="316" spans="1:4">
      <c r="A316" s="19"/>
      <c r="C316" s="20"/>
      <c r="D316" s="26"/>
    </row>
    <row r="317" spans="1:4">
      <c r="A317" s="19"/>
      <c r="C317" s="20"/>
      <c r="D317" s="26"/>
    </row>
    <row r="318" spans="1:4">
      <c r="A318" s="19"/>
      <c r="C318" s="20"/>
      <c r="D318" s="26"/>
    </row>
    <row r="319" spans="1:4">
      <c r="A319" s="19"/>
      <c r="C319" s="20"/>
      <c r="D319" s="26"/>
    </row>
    <row r="320" spans="1:4">
      <c r="A320" s="19"/>
      <c r="C320" s="20"/>
      <c r="D320" s="26"/>
    </row>
    <row r="321" spans="1:4">
      <c r="A321" s="19"/>
      <c r="C321" s="20"/>
      <c r="D321" s="26"/>
    </row>
    <row r="322" spans="1:4">
      <c r="A322" s="19"/>
      <c r="C322" s="20"/>
      <c r="D322" s="26"/>
    </row>
    <row r="323" spans="1:4">
      <c r="A323" s="19"/>
      <c r="C323" s="20"/>
      <c r="D323" s="26"/>
    </row>
    <row r="324" spans="1:4">
      <c r="A324" s="19"/>
      <c r="C324" s="20"/>
      <c r="D324" s="26"/>
    </row>
    <row r="325" spans="1:4">
      <c r="A325" s="19"/>
      <c r="C325" s="20"/>
      <c r="D325" s="26"/>
    </row>
    <row r="326" spans="1:4">
      <c r="A326" s="19"/>
      <c r="C326" s="20"/>
      <c r="D326" s="26"/>
    </row>
    <row r="327" spans="1:4">
      <c r="A327" s="19"/>
      <c r="C327" s="20"/>
      <c r="D327" s="26"/>
    </row>
    <row r="328" spans="1:4">
      <c r="A328" s="19"/>
      <c r="C328" s="20"/>
      <c r="D328" s="26"/>
    </row>
    <row r="329" spans="1:4">
      <c r="A329" s="19"/>
      <c r="C329" s="20"/>
      <c r="D329" s="26"/>
    </row>
    <row r="330" spans="1:4">
      <c r="A330" s="19"/>
      <c r="C330" s="20"/>
      <c r="D330" s="26"/>
    </row>
    <row r="331" spans="1:4">
      <c r="A331" s="19"/>
      <c r="C331" s="20"/>
      <c r="D331" s="26"/>
    </row>
    <row r="332" spans="1:4">
      <c r="A332" s="19"/>
      <c r="C332" s="20"/>
      <c r="D332" s="26"/>
    </row>
    <row r="333" spans="1:4">
      <c r="A333" s="19"/>
      <c r="C333" s="20"/>
      <c r="D333" s="26"/>
    </row>
    <row r="334" spans="1:4">
      <c r="A334" s="19"/>
      <c r="C334" s="20"/>
      <c r="D334" s="26"/>
    </row>
    <row r="335" spans="1:4">
      <c r="A335" s="19"/>
      <c r="C335" s="20"/>
      <c r="D335" s="26"/>
    </row>
    <row r="336" spans="1:4">
      <c r="A336" s="19"/>
      <c r="C336" s="20"/>
      <c r="D336" s="26"/>
    </row>
    <row r="337" spans="1:4">
      <c r="A337" s="19"/>
      <c r="C337" s="20"/>
      <c r="D337" s="26"/>
    </row>
    <row r="338" spans="1:4">
      <c r="A338" s="19"/>
      <c r="C338" s="20"/>
      <c r="D338" s="26"/>
    </row>
    <row r="339" spans="1:4">
      <c r="A339" s="19"/>
      <c r="C339" s="20"/>
      <c r="D339" s="26"/>
    </row>
    <row r="340" spans="1:4">
      <c r="A340" s="19"/>
      <c r="C340" s="20"/>
      <c r="D340" s="26"/>
    </row>
    <row r="341" spans="1:4">
      <c r="A341" s="19"/>
      <c r="C341" s="20"/>
      <c r="D341" s="26"/>
    </row>
    <row r="342" spans="1:4">
      <c r="A342" s="19"/>
      <c r="C342" s="20"/>
      <c r="D342" s="26"/>
    </row>
    <row r="343" spans="1:4">
      <c r="A343" s="19"/>
      <c r="C343" s="20"/>
      <c r="D343" s="26"/>
    </row>
    <row r="344" spans="1:4">
      <c r="A344" s="19"/>
      <c r="C344" s="20"/>
      <c r="D344" s="26"/>
    </row>
    <row r="345" spans="1:4">
      <c r="A345" s="19"/>
      <c r="C345" s="20"/>
      <c r="D345" s="26"/>
    </row>
    <row r="346" spans="1:4">
      <c r="A346" s="19"/>
      <c r="C346" s="20"/>
      <c r="D346" s="26"/>
    </row>
    <row r="347" spans="1:4">
      <c r="A347" s="19"/>
      <c r="C347" s="20"/>
      <c r="D347" s="26"/>
    </row>
    <row r="348" spans="1:4">
      <c r="A348" s="19"/>
      <c r="C348" s="20"/>
      <c r="D348" s="26"/>
    </row>
    <row r="349" spans="1:4">
      <c r="A349" s="19"/>
      <c r="C349" s="20"/>
      <c r="D349" s="26"/>
    </row>
    <row r="350" spans="1:4">
      <c r="A350" s="19"/>
      <c r="C350" s="20"/>
      <c r="D350" s="26"/>
    </row>
    <row r="351" spans="1:4">
      <c r="A351" s="19"/>
      <c r="C351" s="20"/>
      <c r="D351" s="26"/>
    </row>
    <row r="352" spans="1:4">
      <c r="A352" s="19"/>
      <c r="C352" s="20"/>
      <c r="D352" s="26"/>
    </row>
    <row r="353" spans="1:4">
      <c r="A353" s="19"/>
      <c r="C353" s="20"/>
      <c r="D353" s="26"/>
    </row>
    <row r="354" spans="1:4">
      <c r="A354" s="19"/>
      <c r="C354" s="20"/>
      <c r="D354" s="26"/>
    </row>
    <row r="355" spans="1:4">
      <c r="A355" s="19"/>
      <c r="C355" s="20"/>
      <c r="D355" s="26"/>
    </row>
    <row r="356" spans="1:4">
      <c r="A356" s="19"/>
      <c r="C356" s="20"/>
      <c r="D356" s="26"/>
    </row>
    <row r="357" spans="1:4">
      <c r="A357" s="19"/>
      <c r="C357" s="20"/>
      <c r="D357" s="26"/>
    </row>
    <row r="358" spans="1:4">
      <c r="A358" s="19"/>
      <c r="C358" s="20"/>
      <c r="D358" s="26"/>
    </row>
    <row r="359" spans="1:4">
      <c r="A359" s="19"/>
      <c r="C359" s="20"/>
      <c r="D359" s="26"/>
    </row>
    <row r="360" spans="1:4">
      <c r="A360" s="19"/>
      <c r="C360" s="20"/>
      <c r="D360" s="26"/>
    </row>
    <row r="361" spans="1:4">
      <c r="A361" s="19"/>
      <c r="C361" s="20"/>
      <c r="D361" s="26"/>
    </row>
    <row r="362" spans="1:4">
      <c r="A362" s="19"/>
      <c r="C362" s="20"/>
      <c r="D362" s="26"/>
    </row>
    <row r="363" spans="1:4">
      <c r="A363" s="19"/>
      <c r="C363" s="20"/>
      <c r="D363" s="26"/>
    </row>
    <row r="364" spans="1:4">
      <c r="A364" s="19"/>
      <c r="C364" s="20"/>
      <c r="D364" s="26"/>
    </row>
    <row r="365" spans="1:4">
      <c r="A365" s="19"/>
      <c r="C365" s="20"/>
      <c r="D365" s="26"/>
    </row>
    <row r="366" spans="1:4">
      <c r="A366" s="19"/>
      <c r="C366" s="20"/>
      <c r="D366" s="26"/>
    </row>
    <row r="367" spans="1:4">
      <c r="A367" s="19"/>
      <c r="C367" s="20"/>
      <c r="D367" s="26"/>
    </row>
    <row r="368" spans="1:4">
      <c r="A368" s="19"/>
      <c r="C368" s="20"/>
      <c r="D368" s="26"/>
    </row>
    <row r="369" spans="1:4">
      <c r="A369" s="19"/>
      <c r="C369" s="20"/>
      <c r="D369" s="26"/>
    </row>
    <row r="370" spans="1:4">
      <c r="A370" s="19"/>
      <c r="C370" s="20"/>
      <c r="D370" s="26"/>
    </row>
    <row r="371" spans="1:4">
      <c r="A371" s="19"/>
      <c r="C371" s="20"/>
      <c r="D371" s="26"/>
    </row>
    <row r="372" spans="1:4">
      <c r="A372" s="19"/>
      <c r="C372" s="20"/>
      <c r="D372" s="26"/>
    </row>
    <row r="373" spans="1:4">
      <c r="A373" s="19"/>
      <c r="C373" s="20"/>
      <c r="D373" s="26"/>
    </row>
    <row r="374" spans="1:4">
      <c r="A374" s="19"/>
      <c r="C374" s="20"/>
      <c r="D374" s="26"/>
    </row>
    <row r="375" spans="1:4">
      <c r="A375" s="19"/>
      <c r="C375" s="20"/>
      <c r="D375" s="26"/>
    </row>
    <row r="376" spans="1:4">
      <c r="A376" s="19"/>
      <c r="C376" s="20"/>
      <c r="D376" s="26"/>
    </row>
    <row r="377" spans="1:4">
      <c r="A377" s="19"/>
      <c r="C377" s="20"/>
      <c r="D377" s="26"/>
    </row>
    <row r="378" spans="1:4">
      <c r="A378" s="19"/>
      <c r="C378" s="20"/>
      <c r="D378" s="26"/>
    </row>
    <row r="379" spans="1:4">
      <c r="A379" s="19"/>
      <c r="C379" s="20"/>
      <c r="D379" s="26"/>
    </row>
    <row r="380" spans="1:4">
      <c r="A380" s="19"/>
      <c r="C380" s="20"/>
      <c r="D380" s="26"/>
    </row>
    <row r="381" spans="1:4">
      <c r="A381" s="19"/>
      <c r="C381" s="20"/>
      <c r="D381" s="26"/>
    </row>
    <row r="382" spans="1:4">
      <c r="A382" s="19"/>
      <c r="C382" s="20"/>
      <c r="D382" s="26"/>
    </row>
    <row r="383" spans="1:4">
      <c r="A383" s="19"/>
      <c r="C383" s="20"/>
      <c r="D383" s="26"/>
    </row>
    <row r="384" spans="1:4">
      <c r="A384" s="19"/>
      <c r="C384" s="20"/>
      <c r="D384" s="26"/>
    </row>
    <row r="385" spans="1:4">
      <c r="A385" s="19"/>
      <c r="C385" s="20"/>
      <c r="D385" s="26"/>
    </row>
    <row r="386" spans="1:4">
      <c r="A386" s="19"/>
      <c r="C386" s="20"/>
      <c r="D386" s="26"/>
    </row>
    <row r="387" spans="1:4">
      <c r="A387" s="19"/>
      <c r="C387" s="20"/>
      <c r="D387" s="26"/>
    </row>
    <row r="388" spans="1:4">
      <c r="A388" s="19"/>
      <c r="C388" s="20"/>
      <c r="D388" s="26"/>
    </row>
    <row r="389" spans="1:4">
      <c r="A389" s="19"/>
      <c r="C389" s="20"/>
      <c r="D389" s="26"/>
    </row>
    <row r="390" spans="1:4">
      <c r="A390" s="19"/>
      <c r="C390" s="20"/>
      <c r="D390" s="26"/>
    </row>
    <row r="391" spans="1:4">
      <c r="A391" s="19"/>
      <c r="C391" s="20"/>
      <c r="D391" s="26"/>
    </row>
    <row r="392" spans="1:4">
      <c r="A392" s="19"/>
      <c r="C392" s="20"/>
      <c r="D392" s="26"/>
    </row>
    <row r="393" spans="1:4">
      <c r="A393" s="19"/>
      <c r="C393" s="20"/>
      <c r="D393" s="26"/>
    </row>
    <row r="394" spans="1:4">
      <c r="A394" s="19"/>
      <c r="C394" s="20"/>
      <c r="D394" s="26"/>
    </row>
    <row r="395" spans="1:4">
      <c r="A395" s="19"/>
      <c r="C395" s="20"/>
      <c r="D395" s="26"/>
    </row>
    <row r="396" spans="1:4">
      <c r="A396" s="19"/>
      <c r="C396" s="20"/>
      <c r="D396" s="26"/>
    </row>
    <row r="397" spans="1:4">
      <c r="A397" s="19"/>
      <c r="C397" s="20"/>
      <c r="D397" s="26"/>
    </row>
    <row r="398" spans="1:4">
      <c r="A398" s="19"/>
      <c r="C398" s="20"/>
      <c r="D398" s="26"/>
    </row>
    <row r="399" spans="1:4">
      <c r="A399" s="19"/>
      <c r="C399" s="20"/>
      <c r="D399" s="26"/>
    </row>
    <row r="400" spans="1:4">
      <c r="A400" s="19"/>
      <c r="C400" s="20"/>
      <c r="D400" s="26"/>
    </row>
    <row r="401" spans="1:4">
      <c r="A401" s="19"/>
      <c r="C401" s="20"/>
      <c r="D401" s="26"/>
    </row>
    <row r="402" spans="1:4">
      <c r="A402" s="19"/>
      <c r="C402" s="20"/>
      <c r="D402" s="26"/>
    </row>
    <row r="403" spans="1:4">
      <c r="A403" s="19"/>
      <c r="C403" s="20"/>
      <c r="D403" s="26"/>
    </row>
    <row r="404" spans="1:4">
      <c r="A404" s="19"/>
      <c r="C404" s="20"/>
      <c r="D404" s="26"/>
    </row>
    <row r="405" spans="1:4">
      <c r="A405" s="19"/>
      <c r="C405" s="20"/>
      <c r="D405" s="26"/>
    </row>
    <row r="406" spans="1:4">
      <c r="A406" s="19"/>
      <c r="C406" s="20"/>
      <c r="D406" s="26"/>
    </row>
    <row r="407" spans="1:4">
      <c r="A407" s="19"/>
      <c r="C407" s="20"/>
      <c r="D407" s="26"/>
    </row>
    <row r="408" spans="1:4">
      <c r="A408" s="19"/>
      <c r="C408" s="20"/>
      <c r="D408" s="26"/>
    </row>
    <row r="409" spans="1:4">
      <c r="A409" s="19"/>
      <c r="C409" s="20"/>
      <c r="D409" s="26"/>
    </row>
    <row r="410" spans="1:4">
      <c r="A410" s="19"/>
      <c r="C410" s="20"/>
      <c r="D410" s="26"/>
    </row>
    <row r="411" spans="1:4">
      <c r="A411" s="19"/>
      <c r="C411" s="20"/>
      <c r="D411" s="26"/>
    </row>
    <row r="412" spans="1:4">
      <c r="A412" s="19"/>
      <c r="C412" s="20"/>
      <c r="D412" s="26"/>
    </row>
    <row r="413" spans="1:4">
      <c r="A413" s="19"/>
      <c r="C413" s="20"/>
      <c r="D413" s="26"/>
    </row>
    <row r="414" spans="1:4">
      <c r="A414" s="19"/>
      <c r="C414" s="20"/>
      <c r="D414" s="26"/>
    </row>
    <row r="415" spans="1:4">
      <c r="A415" s="19"/>
      <c r="C415" s="20"/>
      <c r="D415" s="26"/>
    </row>
    <row r="416" spans="1:4">
      <c r="A416" s="19"/>
      <c r="C416" s="20"/>
      <c r="D416" s="26"/>
    </row>
    <row r="417" spans="1:4">
      <c r="A417" s="19"/>
      <c r="C417" s="20"/>
      <c r="D417" s="26"/>
    </row>
    <row r="418" spans="1:4">
      <c r="A418" s="19"/>
      <c r="C418" s="20"/>
      <c r="D418" s="26"/>
    </row>
    <row r="419" spans="1:4">
      <c r="A419" s="19"/>
      <c r="C419" s="20"/>
      <c r="D419" s="26"/>
    </row>
    <row r="420" spans="1:4">
      <c r="A420" s="19"/>
      <c r="C420" s="20"/>
      <c r="D420" s="26"/>
    </row>
    <row r="421" spans="1:4">
      <c r="A421" s="19"/>
      <c r="C421" s="20"/>
      <c r="D421" s="26"/>
    </row>
    <row r="422" spans="1:4">
      <c r="A422" s="19"/>
      <c r="C422" s="20"/>
      <c r="D422" s="26"/>
    </row>
    <row r="423" spans="1:4">
      <c r="A423" s="19"/>
      <c r="C423" s="20"/>
      <c r="D423" s="26"/>
    </row>
    <row r="424" spans="1:4">
      <c r="A424" s="19"/>
      <c r="C424" s="20"/>
      <c r="D424" s="26"/>
    </row>
    <row r="425" spans="1:4">
      <c r="A425" s="19"/>
      <c r="C425" s="20"/>
      <c r="D425" s="26"/>
    </row>
    <row r="426" spans="1:4">
      <c r="A426" s="19"/>
      <c r="C426" s="20"/>
      <c r="D426" s="26"/>
    </row>
    <row r="427" spans="1:4">
      <c r="A427" s="19"/>
      <c r="C427" s="20"/>
      <c r="D427" s="26"/>
    </row>
    <row r="428" spans="1:4">
      <c r="A428" s="19"/>
      <c r="C428" s="20"/>
      <c r="D428" s="26"/>
    </row>
    <row r="429" spans="1:4">
      <c r="A429" s="19"/>
      <c r="C429" s="20"/>
      <c r="D429" s="26"/>
    </row>
    <row r="430" spans="1:4">
      <c r="A430" s="19"/>
      <c r="C430" s="20"/>
      <c r="D430" s="26"/>
    </row>
    <row r="431" spans="1:4">
      <c r="A431" s="19"/>
      <c r="C431" s="20"/>
      <c r="D431" s="26"/>
    </row>
    <row r="432" spans="1:4">
      <c r="A432" s="19"/>
      <c r="C432" s="20"/>
      <c r="D432" s="26"/>
    </row>
    <row r="433" spans="1:4">
      <c r="A433" s="19"/>
      <c r="C433" s="20"/>
      <c r="D433" s="26"/>
    </row>
    <row r="434" spans="1:4">
      <c r="A434" s="19"/>
      <c r="C434" s="20"/>
      <c r="D434" s="26"/>
    </row>
    <row r="435" spans="1:4">
      <c r="A435" s="19"/>
      <c r="C435" s="20"/>
      <c r="D435" s="26"/>
    </row>
    <row r="436" spans="1:4">
      <c r="A436" s="19"/>
      <c r="C436" s="20"/>
      <c r="D436" s="26"/>
    </row>
    <row r="437" spans="1:4">
      <c r="A437" s="19"/>
      <c r="C437" s="20"/>
      <c r="D437" s="26"/>
    </row>
    <row r="438" spans="1:4">
      <c r="A438" s="19"/>
      <c r="C438" s="20"/>
      <c r="D438" s="26"/>
    </row>
    <row r="439" spans="1:4">
      <c r="A439" s="19"/>
      <c r="C439" s="20"/>
      <c r="D439" s="26"/>
    </row>
    <row r="440" spans="1:4">
      <c r="A440" s="19"/>
      <c r="C440" s="20"/>
      <c r="D440" s="26"/>
    </row>
    <row r="441" spans="1:4">
      <c r="A441" s="19"/>
      <c r="C441" s="20"/>
      <c r="D441" s="26"/>
    </row>
    <row r="442" spans="1:4">
      <c r="A442" s="19"/>
      <c r="C442" s="20"/>
      <c r="D442" s="26"/>
    </row>
    <row r="443" spans="1:4">
      <c r="A443" s="19"/>
      <c r="C443" s="20"/>
      <c r="D443" s="26"/>
    </row>
    <row r="444" spans="1:4">
      <c r="A444" s="19"/>
      <c r="C444" s="20"/>
      <c r="D444" s="26"/>
    </row>
    <row r="445" spans="1:4">
      <c r="A445" s="19"/>
      <c r="C445" s="20"/>
      <c r="D445" s="26"/>
    </row>
    <row r="446" spans="1:4">
      <c r="A446" s="19"/>
      <c r="C446" s="20"/>
      <c r="D446" s="26"/>
    </row>
    <row r="447" spans="1:4">
      <c r="A447" s="19"/>
      <c r="C447" s="20"/>
      <c r="D447" s="26"/>
    </row>
    <row r="448" spans="1:4">
      <c r="A448" s="19"/>
      <c r="C448" s="20"/>
      <c r="D448" s="26"/>
    </row>
    <row r="449" spans="1:4">
      <c r="A449" s="19"/>
      <c r="C449" s="20"/>
      <c r="D449" s="26"/>
    </row>
    <row r="450" spans="1:4">
      <c r="A450" s="19"/>
      <c r="C450" s="20"/>
      <c r="D450" s="26"/>
    </row>
    <row r="451" spans="1:4">
      <c r="A451" s="19"/>
      <c r="C451" s="20"/>
      <c r="D451" s="26"/>
    </row>
    <row r="452" spans="1:4">
      <c r="A452" s="19"/>
      <c r="C452" s="20"/>
      <c r="D452" s="26"/>
    </row>
    <row r="453" spans="1:4">
      <c r="A453" s="19"/>
      <c r="C453" s="20"/>
      <c r="D453" s="26"/>
    </row>
    <row r="454" spans="1:4">
      <c r="A454" s="19"/>
      <c r="C454" s="20"/>
      <c r="D454" s="26"/>
    </row>
    <row r="455" spans="1:4">
      <c r="A455" s="19"/>
      <c r="C455" s="20"/>
      <c r="D455" s="26"/>
    </row>
    <row r="456" spans="1:4">
      <c r="A456" s="19"/>
      <c r="C456" s="20"/>
      <c r="D456" s="26"/>
    </row>
    <row r="457" spans="1:4">
      <c r="A457" s="19"/>
      <c r="C457" s="20"/>
      <c r="D457" s="26"/>
    </row>
    <row r="458" spans="1:4">
      <c r="A458" s="19"/>
      <c r="C458" s="20"/>
      <c r="D458" s="26"/>
    </row>
    <row r="459" spans="1:4">
      <c r="A459" s="19"/>
      <c r="C459" s="20"/>
      <c r="D459" s="26"/>
    </row>
    <row r="460" spans="1:4">
      <c r="A460" s="19"/>
      <c r="C460" s="20"/>
      <c r="D460" s="26"/>
    </row>
    <row r="461" spans="1:4">
      <c r="A461" s="19"/>
      <c r="C461" s="20"/>
      <c r="D461" s="26"/>
    </row>
    <row r="462" spans="1:4">
      <c r="A462" s="19"/>
      <c r="C462" s="20"/>
      <c r="D462" s="26"/>
    </row>
    <row r="463" spans="1:4">
      <c r="A463" s="19"/>
      <c r="C463" s="20"/>
      <c r="D463" s="26"/>
    </row>
    <row r="464" spans="1:4">
      <c r="A464" s="19"/>
      <c r="C464" s="20"/>
      <c r="D464" s="26"/>
    </row>
    <row r="465" spans="1:4">
      <c r="A465" s="19"/>
      <c r="C465" s="20"/>
      <c r="D465" s="26"/>
    </row>
    <row r="466" spans="1:4">
      <c r="A466" s="19"/>
      <c r="C466" s="20"/>
      <c r="D466" s="26"/>
    </row>
    <row r="467" spans="1:4">
      <c r="A467" s="19"/>
      <c r="C467" s="20"/>
      <c r="D467" s="26"/>
    </row>
    <row r="468" spans="1:4">
      <c r="A468" s="19"/>
      <c r="C468" s="20"/>
      <c r="D468" s="26"/>
    </row>
    <row r="469" spans="1:4">
      <c r="A469" s="19"/>
      <c r="C469" s="20"/>
      <c r="D469" s="26"/>
    </row>
    <row r="470" spans="1:4">
      <c r="A470" s="19"/>
      <c r="C470" s="20"/>
      <c r="D470" s="26"/>
    </row>
    <row r="471" spans="1:4">
      <c r="A471" s="19"/>
      <c r="C471" s="20"/>
      <c r="D471" s="26"/>
    </row>
    <row r="472" spans="1:4">
      <c r="A472" s="19"/>
      <c r="C472" s="20"/>
      <c r="D472" s="26"/>
    </row>
    <row r="473" spans="1:4">
      <c r="A473" s="19"/>
      <c r="C473" s="20"/>
      <c r="D473" s="26"/>
    </row>
    <row r="474" spans="1:4">
      <c r="A474" s="19"/>
      <c r="C474" s="20"/>
      <c r="D474" s="26"/>
    </row>
    <row r="475" spans="1:4">
      <c r="A475" s="19"/>
      <c r="C475" s="20"/>
      <c r="D475" s="26"/>
    </row>
    <row r="476" spans="1:4">
      <c r="A476" s="19"/>
      <c r="C476" s="20"/>
      <c r="D476" s="26"/>
    </row>
    <row r="477" spans="1:4">
      <c r="A477" s="19"/>
      <c r="C477" s="20"/>
      <c r="D477" s="26"/>
    </row>
    <row r="478" spans="1:4">
      <c r="A478" s="19"/>
      <c r="C478" s="20"/>
      <c r="D478" s="26"/>
    </row>
    <row r="479" spans="1:4">
      <c r="A479" s="19"/>
      <c r="C479" s="20"/>
      <c r="D479" s="26"/>
    </row>
    <row r="480" spans="1:4">
      <c r="A480" s="19"/>
      <c r="C480" s="20"/>
      <c r="D480" s="26"/>
    </row>
    <row r="481" spans="1:4">
      <c r="A481" s="19"/>
      <c r="C481" s="20"/>
      <c r="D481" s="26"/>
    </row>
    <row r="482" spans="1:4">
      <c r="A482" s="19"/>
      <c r="C482" s="20"/>
      <c r="D482" s="26"/>
    </row>
    <row r="483" spans="1:4">
      <c r="A483" s="19"/>
      <c r="C483" s="20"/>
      <c r="D483" s="26"/>
    </row>
    <row r="484" spans="1:4">
      <c r="A484" s="19"/>
      <c r="C484" s="20"/>
      <c r="D484" s="26"/>
    </row>
    <row r="485" spans="1:4">
      <c r="A485" s="19"/>
      <c r="C485" s="20"/>
      <c r="D485" s="26"/>
    </row>
    <row r="486" spans="1:4">
      <c r="A486" s="19"/>
      <c r="C486" s="20"/>
      <c r="D486" s="26"/>
    </row>
    <row r="487" spans="1:4">
      <c r="A487" s="19"/>
      <c r="C487" s="20"/>
      <c r="D487" s="26"/>
    </row>
    <row r="488" spans="1:4">
      <c r="A488" s="19"/>
      <c r="C488" s="20"/>
      <c r="D488" s="26"/>
    </row>
    <row r="489" spans="1:4">
      <c r="A489" s="19"/>
      <c r="C489" s="20"/>
      <c r="D489" s="26"/>
    </row>
    <row r="490" spans="1:4">
      <c r="A490" s="19"/>
      <c r="C490" s="20"/>
      <c r="D490" s="26"/>
    </row>
    <row r="491" spans="1:4">
      <c r="A491" s="19"/>
      <c r="C491" s="20"/>
      <c r="D491" s="26"/>
    </row>
    <row r="492" spans="1:4">
      <c r="A492" s="19"/>
      <c r="C492" s="20"/>
      <c r="D492" s="26"/>
    </row>
    <row r="493" spans="1:4">
      <c r="A493" s="19"/>
      <c r="C493" s="20"/>
      <c r="D493" s="26"/>
    </row>
    <row r="494" spans="1:4">
      <c r="A494" s="19"/>
      <c r="C494" s="20"/>
      <c r="D494" s="26"/>
    </row>
    <row r="495" spans="1:4">
      <c r="A495" s="19"/>
      <c r="C495" s="20"/>
      <c r="D495" s="26"/>
    </row>
    <row r="496" spans="1:4">
      <c r="A496" s="19"/>
      <c r="C496" s="20"/>
      <c r="D496" s="26"/>
    </row>
    <row r="497" spans="1:4">
      <c r="A497" s="19"/>
      <c r="C497" s="20"/>
      <c r="D497" s="26"/>
    </row>
    <row r="498" spans="1:4">
      <c r="A498" s="19"/>
      <c r="C498" s="20"/>
      <c r="D498" s="26"/>
    </row>
    <row r="499" spans="1:4">
      <c r="A499" s="19"/>
      <c r="C499" s="20"/>
      <c r="D499" s="26"/>
    </row>
    <row r="500" spans="1:4">
      <c r="A500" s="19"/>
      <c r="C500" s="20"/>
      <c r="D500" s="26"/>
    </row>
    <row r="501" spans="1:4">
      <c r="A501" s="19"/>
      <c r="C501" s="20"/>
      <c r="D501" s="26"/>
    </row>
    <row r="502" spans="1:4">
      <c r="A502" s="19"/>
      <c r="C502" s="20"/>
      <c r="D502" s="26"/>
    </row>
    <row r="503" spans="1:4">
      <c r="A503" s="19"/>
      <c r="C503" s="20"/>
      <c r="D503" s="26"/>
    </row>
    <row r="504" spans="1:4">
      <c r="A504" s="19"/>
      <c r="C504" s="20"/>
      <c r="D504" s="26"/>
    </row>
    <row r="505" spans="1:4">
      <c r="A505" s="19"/>
      <c r="C505" s="20"/>
      <c r="D505" s="26"/>
    </row>
    <row r="506" spans="1:4">
      <c r="A506" s="19"/>
      <c r="C506" s="20"/>
      <c r="D506" s="26"/>
    </row>
    <row r="507" spans="1:4">
      <c r="A507" s="19"/>
      <c r="C507" s="20"/>
      <c r="D507" s="26"/>
    </row>
    <row r="508" spans="1:4">
      <c r="A508" s="19"/>
      <c r="C508" s="20"/>
      <c r="D508" s="26"/>
    </row>
    <row r="509" spans="1:4">
      <c r="A509" s="19"/>
      <c r="C509" s="20"/>
      <c r="D509" s="26"/>
    </row>
    <row r="510" spans="1:4">
      <c r="A510" s="19"/>
      <c r="C510" s="20"/>
      <c r="D510" s="26"/>
    </row>
    <row r="511" spans="1:4">
      <c r="A511" s="19"/>
      <c r="C511" s="20"/>
      <c r="D511" s="26"/>
    </row>
    <row r="512" spans="1:4">
      <c r="A512" s="19"/>
      <c r="C512" s="20"/>
      <c r="D512" s="26"/>
    </row>
    <row r="513" spans="1:4">
      <c r="A513" s="19"/>
      <c r="C513" s="20"/>
      <c r="D513" s="26"/>
    </row>
    <row r="514" spans="1:4">
      <c r="A514" s="19"/>
      <c r="C514" s="20"/>
      <c r="D514" s="26"/>
    </row>
    <row r="515" spans="1:4">
      <c r="A515" s="19"/>
      <c r="C515" s="20"/>
      <c r="D515" s="26"/>
    </row>
    <row r="516" spans="1:4">
      <c r="A516" s="19"/>
      <c r="C516" s="20"/>
      <c r="D516" s="26"/>
    </row>
    <row r="517" spans="1:4">
      <c r="A517" s="19"/>
      <c r="C517" s="20"/>
      <c r="D517" s="26"/>
    </row>
    <row r="518" spans="1:4">
      <c r="A518" s="19"/>
      <c r="C518" s="20"/>
      <c r="D518" s="26"/>
    </row>
    <row r="519" spans="1:4">
      <c r="A519" s="19"/>
      <c r="C519" s="20"/>
      <c r="D519" s="26"/>
    </row>
    <row r="520" spans="1:4">
      <c r="A520" s="19"/>
      <c r="C520" s="20"/>
      <c r="D520" s="26"/>
    </row>
    <row r="521" spans="1:4">
      <c r="A521" s="19"/>
      <c r="C521" s="20"/>
      <c r="D521" s="26"/>
    </row>
    <row r="522" spans="1:4">
      <c r="A522" s="19"/>
      <c r="C522" s="20"/>
      <c r="D522" s="26"/>
    </row>
    <row r="523" spans="1:4">
      <c r="A523" s="19"/>
      <c r="C523" s="20"/>
      <c r="D523" s="26"/>
    </row>
    <row r="524" spans="1:4">
      <c r="A524" s="19"/>
      <c r="C524" s="20"/>
      <c r="D524" s="26"/>
    </row>
    <row r="525" spans="1:4">
      <c r="A525" s="19"/>
      <c r="C525" s="20"/>
      <c r="D525" s="26"/>
    </row>
    <row r="526" spans="1:4">
      <c r="A526" s="19"/>
      <c r="C526" s="20"/>
      <c r="D526" s="26"/>
    </row>
    <row r="527" spans="1:4">
      <c r="A527" s="19"/>
      <c r="C527" s="20"/>
      <c r="D527" s="26"/>
    </row>
    <row r="528" spans="1:4">
      <c r="A528" s="19"/>
      <c r="C528" s="20"/>
      <c r="D528" s="26"/>
    </row>
    <row r="529" spans="1:4">
      <c r="A529" s="19"/>
      <c r="C529" s="20"/>
      <c r="D529" s="26"/>
    </row>
    <row r="530" spans="1:4">
      <c r="A530" s="19"/>
      <c r="C530" s="20"/>
      <c r="D530" s="26"/>
    </row>
    <row r="531" spans="1:4">
      <c r="A531" s="19"/>
      <c r="C531" s="20"/>
      <c r="D531" s="26"/>
    </row>
    <row r="532" spans="1:4">
      <c r="A532" s="19"/>
      <c r="C532" s="20"/>
      <c r="D532" s="26"/>
    </row>
    <row r="533" spans="1:4">
      <c r="A533" s="19"/>
      <c r="C533" s="20"/>
      <c r="D533" s="26"/>
    </row>
    <row r="534" spans="1:4">
      <c r="A534" s="19"/>
      <c r="C534" s="20"/>
      <c r="D534" s="26"/>
    </row>
    <row r="535" spans="1:4">
      <c r="A535" s="19"/>
      <c r="C535" s="20"/>
      <c r="D535" s="26"/>
    </row>
    <row r="536" spans="1:4">
      <c r="A536" s="19"/>
      <c r="C536" s="20"/>
      <c r="D536" s="26"/>
    </row>
    <row r="537" spans="1:4">
      <c r="A537" s="19"/>
      <c r="C537" s="20"/>
      <c r="D537" s="26"/>
    </row>
    <row r="538" spans="1:4">
      <c r="A538" s="19"/>
      <c r="C538" s="20"/>
      <c r="D538" s="26"/>
    </row>
    <row r="539" spans="1:4">
      <c r="A539" s="19"/>
      <c r="C539" s="20"/>
      <c r="D539" s="26"/>
    </row>
    <row r="540" spans="1:4">
      <c r="A540" s="19"/>
      <c r="C540" s="20"/>
      <c r="D540" s="26"/>
    </row>
    <row r="541" spans="1:4">
      <c r="A541" s="19"/>
      <c r="C541" s="20"/>
      <c r="D541" s="26"/>
    </row>
    <row r="542" spans="1:4">
      <c r="A542" s="19"/>
      <c r="C542" s="20"/>
      <c r="D542" s="26"/>
    </row>
    <row r="543" spans="1:4">
      <c r="A543" s="19"/>
      <c r="C543" s="20"/>
      <c r="D543" s="26"/>
    </row>
    <row r="544" spans="1:4">
      <c r="A544" s="19"/>
      <c r="C544" s="20"/>
      <c r="D544" s="26"/>
    </row>
    <row r="545" spans="1:4">
      <c r="A545" s="19"/>
      <c r="C545" s="20"/>
      <c r="D545" s="26"/>
    </row>
    <row r="546" spans="1:4">
      <c r="A546" s="19"/>
      <c r="C546" s="20"/>
      <c r="D546" s="26"/>
    </row>
    <row r="547" spans="1:4">
      <c r="A547" s="19"/>
      <c r="C547" s="20"/>
      <c r="D547" s="26"/>
    </row>
    <row r="548" spans="1:4">
      <c r="A548" s="19"/>
      <c r="C548" s="20"/>
      <c r="D548" s="26"/>
    </row>
    <row r="549" spans="1:4">
      <c r="A549" s="19"/>
      <c r="C549" s="20"/>
      <c r="D549" s="26"/>
    </row>
    <row r="550" spans="1:4">
      <c r="A550" s="19"/>
      <c r="C550" s="20"/>
      <c r="D550" s="26"/>
    </row>
    <row r="551" spans="1:4">
      <c r="A551" s="19"/>
      <c r="C551" s="20"/>
      <c r="D551" s="26"/>
    </row>
    <row r="552" spans="1:4">
      <c r="A552" s="19"/>
      <c r="C552" s="20"/>
      <c r="D552" s="26"/>
    </row>
    <row r="553" spans="1:4">
      <c r="A553" s="19"/>
      <c r="C553" s="20"/>
      <c r="D553" s="26"/>
    </row>
    <row r="554" spans="1:4">
      <c r="A554" s="19"/>
      <c r="C554" s="20"/>
      <c r="D554" s="26"/>
    </row>
    <row r="555" spans="1:4">
      <c r="A555" s="19"/>
      <c r="C555" s="20"/>
      <c r="D555" s="26"/>
    </row>
    <row r="556" spans="1:4">
      <c r="A556" s="19"/>
      <c r="C556" s="20"/>
      <c r="D556" s="26"/>
    </row>
    <row r="557" spans="1:4">
      <c r="A557" s="19"/>
      <c r="C557" s="20"/>
      <c r="D557" s="26"/>
    </row>
    <row r="558" spans="1:4">
      <c r="A558" s="19"/>
      <c r="C558" s="20"/>
      <c r="D558" s="26"/>
    </row>
    <row r="559" spans="1:4">
      <c r="A559" s="19"/>
      <c r="C559" s="20"/>
      <c r="D559" s="26"/>
    </row>
    <row r="560" spans="1:4">
      <c r="A560" s="19"/>
      <c r="C560" s="20"/>
      <c r="D560" s="26"/>
    </row>
    <row r="561" spans="1:4">
      <c r="A561" s="19"/>
      <c r="C561" s="20"/>
      <c r="D561" s="26"/>
    </row>
    <row r="562" spans="1:4">
      <c r="A562" s="19"/>
      <c r="C562" s="20"/>
      <c r="D562" s="26"/>
    </row>
    <row r="563" spans="1:4">
      <c r="A563" s="19"/>
      <c r="C563" s="20"/>
      <c r="D563" s="26"/>
    </row>
    <row r="564" spans="1:4">
      <c r="A564" s="19"/>
      <c r="C564" s="20"/>
      <c r="D564" s="26"/>
    </row>
    <row r="565" spans="1:4">
      <c r="A565" s="19"/>
      <c r="C565" s="20"/>
      <c r="D565" s="26"/>
    </row>
    <row r="566" spans="1:4">
      <c r="A566" s="19"/>
      <c r="C566" s="20"/>
      <c r="D566" s="26"/>
    </row>
    <row r="567" spans="1:4">
      <c r="A567" s="19"/>
      <c r="C567" s="20"/>
      <c r="D567" s="26"/>
    </row>
    <row r="568" spans="1:4">
      <c r="A568" s="19"/>
      <c r="C568" s="20"/>
      <c r="D568" s="26"/>
    </row>
    <row r="569" spans="1:4">
      <c r="A569" s="19"/>
      <c r="C569" s="20"/>
      <c r="D569" s="26"/>
    </row>
    <row r="570" spans="1:4">
      <c r="A570" s="19"/>
      <c r="C570" s="20"/>
      <c r="D570" s="26"/>
    </row>
    <row r="571" spans="1:4">
      <c r="A571" s="19"/>
      <c r="C571" s="20"/>
      <c r="D571" s="26"/>
    </row>
    <row r="572" spans="1:4">
      <c r="A572" s="19"/>
      <c r="C572" s="20"/>
      <c r="D572" s="26"/>
    </row>
    <row r="573" spans="1:4">
      <c r="A573" s="19"/>
      <c r="C573" s="20"/>
      <c r="D573" s="26"/>
    </row>
    <row r="574" spans="1:4">
      <c r="A574" s="19"/>
      <c r="C574" s="20"/>
      <c r="D574" s="26"/>
    </row>
    <row r="575" spans="1:4">
      <c r="A575" s="19"/>
      <c r="C575" s="20"/>
      <c r="D575" s="26"/>
    </row>
    <row r="576" spans="1:4">
      <c r="A576" s="19"/>
      <c r="C576" s="20"/>
      <c r="D576" s="26"/>
    </row>
    <row r="577" spans="1:4">
      <c r="A577" s="19"/>
      <c r="C577" s="20"/>
      <c r="D577" s="26"/>
    </row>
    <row r="578" spans="1:4">
      <c r="A578" s="19"/>
      <c r="C578" s="20"/>
      <c r="D578" s="26"/>
    </row>
    <row r="579" spans="1:4">
      <c r="A579" s="19"/>
      <c r="C579" s="20"/>
      <c r="D579" s="26"/>
    </row>
    <row r="580" spans="1:4">
      <c r="A580" s="19"/>
      <c r="C580" s="20"/>
      <c r="D580" s="26"/>
    </row>
    <row r="581" spans="1:4">
      <c r="A581" s="19"/>
      <c r="C581" s="20"/>
      <c r="D581" s="26"/>
    </row>
    <row r="582" spans="1:4">
      <c r="A582" s="19"/>
      <c r="C582" s="20"/>
      <c r="D582" s="26"/>
    </row>
    <row r="583" spans="1:4">
      <c r="A583" s="19"/>
      <c r="C583" s="20"/>
      <c r="D583" s="26"/>
    </row>
    <row r="584" spans="1:4">
      <c r="A584" s="19"/>
      <c r="C584" s="20"/>
      <c r="D584" s="26"/>
    </row>
    <row r="585" spans="1:4">
      <c r="A585" s="19"/>
      <c r="C585" s="20"/>
      <c r="D585" s="26"/>
    </row>
    <row r="586" spans="1:4">
      <c r="A586" s="19"/>
      <c r="C586" s="20"/>
      <c r="D586" s="26"/>
    </row>
    <row r="587" spans="1:4">
      <c r="A587" s="19"/>
      <c r="C587" s="20"/>
      <c r="D587" s="26"/>
    </row>
    <row r="588" spans="1:4">
      <c r="A588" s="19"/>
      <c r="C588" s="20"/>
      <c r="D588" s="26"/>
    </row>
    <row r="589" spans="1:4">
      <c r="A589" s="19"/>
      <c r="C589" s="20"/>
      <c r="D589" s="26"/>
    </row>
    <row r="590" spans="1:4">
      <c r="A590" s="19"/>
      <c r="C590" s="20"/>
      <c r="D590" s="26"/>
    </row>
    <row r="591" spans="1:4">
      <c r="A591" s="19"/>
      <c r="C591" s="20"/>
      <c r="D591" s="26"/>
    </row>
    <row r="592" spans="1:4">
      <c r="A592" s="19"/>
      <c r="C592" s="20"/>
      <c r="D592" s="26"/>
    </row>
    <row r="593" spans="1:4">
      <c r="A593" s="19"/>
      <c r="C593" s="20"/>
      <c r="D593" s="26"/>
    </row>
    <row r="594" spans="1:4">
      <c r="A594" s="19"/>
      <c r="C594" s="20"/>
      <c r="D594" s="26"/>
    </row>
    <row r="595" spans="1:4">
      <c r="A595" s="19"/>
      <c r="C595" s="20"/>
      <c r="D595" s="26"/>
    </row>
    <row r="596" spans="1:4">
      <c r="A596" s="19"/>
      <c r="C596" s="20"/>
      <c r="D596" s="26"/>
    </row>
    <row r="597" spans="1:4">
      <c r="A597" s="19"/>
      <c r="C597" s="20"/>
      <c r="D597" s="26"/>
    </row>
    <row r="598" spans="1:4">
      <c r="A598" s="19"/>
      <c r="C598" s="20"/>
      <c r="D598" s="26"/>
    </row>
    <row r="599" spans="1:4">
      <c r="A599" s="19"/>
      <c r="C599" s="20"/>
      <c r="D599" s="26"/>
    </row>
    <row r="600" spans="1:4">
      <c r="A600" s="19"/>
      <c r="C600" s="20"/>
      <c r="D600" s="26"/>
    </row>
    <row r="601" spans="1:4">
      <c r="A601" s="19"/>
      <c r="C601" s="20"/>
      <c r="D601" s="26"/>
    </row>
    <row r="602" spans="1:4">
      <c r="A602" s="19"/>
      <c r="C602" s="20"/>
      <c r="D602" s="26"/>
    </row>
    <row r="603" spans="1:4">
      <c r="A603" s="19"/>
      <c r="C603" s="20"/>
      <c r="D603" s="26"/>
    </row>
    <row r="604" spans="1:4">
      <c r="A604" s="19"/>
      <c r="C604" s="20"/>
      <c r="D604" s="26"/>
    </row>
    <row r="605" spans="1:4">
      <c r="A605" s="19"/>
      <c r="C605" s="20"/>
      <c r="D605" s="26"/>
    </row>
    <row r="606" spans="1:4">
      <c r="A606" s="19"/>
      <c r="C606" s="20"/>
      <c r="D606" s="26"/>
    </row>
    <row r="607" spans="1:4">
      <c r="A607" s="19"/>
      <c r="C607" s="20"/>
      <c r="D607" s="26"/>
    </row>
    <row r="608" spans="1:4">
      <c r="A608" s="19"/>
      <c r="C608" s="20"/>
      <c r="D608" s="26"/>
    </row>
    <row r="609" spans="1:4">
      <c r="A609" s="19"/>
      <c r="C609" s="20"/>
      <c r="D609" s="26"/>
    </row>
    <row r="610" spans="1:4">
      <c r="A610" s="19"/>
      <c r="C610" s="20"/>
      <c r="D610" s="26"/>
    </row>
    <row r="611" spans="1:4">
      <c r="A611" s="19"/>
      <c r="C611" s="20"/>
      <c r="D611" s="26"/>
    </row>
    <row r="612" spans="1:4">
      <c r="A612" s="19"/>
      <c r="C612" s="20"/>
      <c r="D612" s="26"/>
    </row>
    <row r="613" spans="1:4">
      <c r="A613" s="19"/>
      <c r="C613" s="20"/>
      <c r="D613" s="26"/>
    </row>
    <row r="614" spans="1:4">
      <c r="A614" s="19"/>
      <c r="C614" s="20"/>
      <c r="D614" s="26"/>
    </row>
    <row r="615" spans="1:4">
      <c r="A615" s="19"/>
      <c r="C615" s="20"/>
      <c r="D615" s="26"/>
    </row>
    <row r="616" spans="1:4">
      <c r="A616" s="19"/>
      <c r="C616" s="20"/>
      <c r="D616" s="26"/>
    </row>
    <row r="617" spans="1:4">
      <c r="A617" s="19"/>
      <c r="C617" s="20"/>
      <c r="D617" s="26"/>
    </row>
    <row r="618" spans="1:4">
      <c r="A618" s="19"/>
      <c r="C618" s="20"/>
      <c r="D618" s="26"/>
    </row>
    <row r="619" spans="1:4">
      <c r="A619" s="19"/>
      <c r="C619" s="20"/>
      <c r="D619" s="26"/>
    </row>
    <row r="620" spans="1:4">
      <c r="A620" s="19"/>
      <c r="C620" s="20"/>
      <c r="D620" s="26"/>
    </row>
    <row r="621" spans="1:4">
      <c r="A621" s="19"/>
      <c r="C621" s="20"/>
      <c r="D621" s="26"/>
    </row>
    <row r="622" spans="1:4">
      <c r="A622" s="19"/>
      <c r="C622" s="20"/>
      <c r="D622" s="26"/>
    </row>
    <row r="623" spans="1:4">
      <c r="A623" s="19"/>
      <c r="C623" s="20"/>
      <c r="D623" s="26"/>
    </row>
    <row r="624" spans="1:4">
      <c r="A624" s="19"/>
      <c r="C624" s="20"/>
      <c r="D624" s="26"/>
    </row>
    <row r="625" spans="1:4">
      <c r="A625" s="19"/>
      <c r="C625" s="20"/>
      <c r="D625" s="26"/>
    </row>
    <row r="626" spans="1:4">
      <c r="A626" s="19"/>
      <c r="C626" s="20"/>
      <c r="D626" s="26"/>
    </row>
    <row r="627" spans="1:4">
      <c r="A627" s="19"/>
      <c r="C627" s="20"/>
      <c r="D627" s="26"/>
    </row>
    <row r="628" spans="1:4">
      <c r="A628" s="19"/>
      <c r="C628" s="20"/>
      <c r="D628" s="26"/>
    </row>
    <row r="629" spans="1:4">
      <c r="A629" s="19"/>
      <c r="C629" s="20"/>
      <c r="D629" s="26"/>
    </row>
    <row r="630" spans="1:4">
      <c r="A630" s="19"/>
      <c r="C630" s="20"/>
      <c r="D630" s="26"/>
    </row>
    <row r="631" spans="1:4">
      <c r="A631" s="19"/>
      <c r="C631" s="20"/>
      <c r="D631" s="26"/>
    </row>
    <row r="632" spans="1:4">
      <c r="A632" s="19"/>
      <c r="C632" s="20"/>
      <c r="D632" s="26"/>
    </row>
    <row r="633" spans="1:4">
      <c r="A633" s="19"/>
      <c r="C633" s="20"/>
      <c r="D633" s="26"/>
    </row>
    <row r="634" spans="1:4">
      <c r="A634" s="19"/>
      <c r="C634" s="20"/>
      <c r="D634" s="26"/>
    </row>
    <row r="635" spans="1:4">
      <c r="A635" s="19"/>
      <c r="C635" s="20"/>
      <c r="D635" s="26"/>
    </row>
    <row r="636" spans="1:4">
      <c r="A636" s="19"/>
      <c r="C636" s="20"/>
      <c r="D636" s="26"/>
    </row>
    <row r="637" spans="1:4">
      <c r="A637" s="19"/>
      <c r="C637" s="20"/>
      <c r="D637" s="26"/>
    </row>
    <row r="638" spans="1:4">
      <c r="A638" s="19"/>
      <c r="C638" s="20"/>
      <c r="D638" s="26"/>
    </row>
    <row r="639" spans="1:4">
      <c r="A639" s="19"/>
      <c r="C639" s="20"/>
      <c r="D639" s="26"/>
    </row>
    <row r="640" spans="1:4">
      <c r="A640" s="19"/>
      <c r="C640" s="20"/>
      <c r="D640" s="26"/>
    </row>
    <row r="641" spans="1:4">
      <c r="A641" s="19"/>
      <c r="C641" s="20"/>
      <c r="D641" s="26"/>
    </row>
    <row r="642" spans="1:4">
      <c r="A642" s="19"/>
      <c r="C642" s="20"/>
      <c r="D642" s="26"/>
    </row>
    <row r="643" spans="1:4">
      <c r="A643" s="19"/>
      <c r="C643" s="20"/>
      <c r="D643" s="26"/>
    </row>
    <row r="644" spans="1:4">
      <c r="A644" s="19"/>
      <c r="C644" s="20"/>
      <c r="D644" s="26"/>
    </row>
    <row r="645" spans="1:4">
      <c r="A645" s="19"/>
      <c r="C645" s="20"/>
      <c r="D645" s="26"/>
    </row>
    <row r="646" spans="1:4">
      <c r="A646" s="19"/>
      <c r="C646" s="20"/>
      <c r="D646" s="26"/>
    </row>
    <row r="647" spans="1:4">
      <c r="A647" s="19"/>
      <c r="C647" s="20"/>
      <c r="D647" s="26"/>
    </row>
    <row r="648" spans="1:4">
      <c r="A648" s="19"/>
      <c r="C648" s="20"/>
      <c r="D648" s="26"/>
    </row>
    <row r="649" spans="1:4">
      <c r="A649" s="19"/>
      <c r="C649" s="20"/>
      <c r="D649" s="26"/>
    </row>
    <row r="650" spans="1:4">
      <c r="A650" s="19"/>
      <c r="C650" s="20"/>
      <c r="D650" s="26"/>
    </row>
    <row r="651" spans="1:4">
      <c r="A651" s="19"/>
      <c r="C651" s="20"/>
      <c r="D651" s="26"/>
    </row>
    <row r="652" spans="1:4">
      <c r="A652" s="19"/>
      <c r="C652" s="20"/>
      <c r="D652" s="26"/>
    </row>
    <row r="653" spans="1:4">
      <c r="A653" s="19"/>
      <c r="C653" s="20"/>
      <c r="D653" s="26"/>
    </row>
    <row r="654" spans="1:4">
      <c r="A654" s="19"/>
      <c r="C654" s="20"/>
      <c r="D654" s="26"/>
    </row>
    <row r="655" spans="1:4">
      <c r="A655" s="19"/>
      <c r="C655" s="20"/>
      <c r="D655" s="26"/>
    </row>
    <row r="656" spans="1:4">
      <c r="A656" s="19"/>
      <c r="C656" s="20"/>
      <c r="D656" s="26"/>
    </row>
    <row r="657" spans="1:4">
      <c r="A657" s="19"/>
      <c r="C657" s="20"/>
      <c r="D657" s="26"/>
    </row>
    <row r="658" spans="1:4">
      <c r="A658" s="19"/>
      <c r="C658" s="20"/>
      <c r="D658" s="26"/>
    </row>
    <row r="659" spans="1:4">
      <c r="A659" s="19"/>
      <c r="C659" s="20"/>
      <c r="D659" s="26"/>
    </row>
    <row r="660" spans="1:4">
      <c r="A660" s="19"/>
      <c r="C660" s="20"/>
      <c r="D660" s="26"/>
    </row>
    <row r="661" spans="1:4">
      <c r="A661" s="19"/>
      <c r="C661" s="20"/>
      <c r="D661" s="26"/>
    </row>
    <row r="662" spans="1:4">
      <c r="A662" s="19"/>
      <c r="C662" s="20"/>
      <c r="D662" s="26"/>
    </row>
    <row r="663" spans="1:4">
      <c r="A663" s="19"/>
      <c r="C663" s="20"/>
      <c r="D663" s="26"/>
    </row>
    <row r="664" spans="1:4">
      <c r="A664" s="19"/>
      <c r="C664" s="20"/>
      <c r="D664" s="26"/>
    </row>
    <row r="665" spans="1:4">
      <c r="A665" s="19"/>
      <c r="C665" s="20"/>
      <c r="D665" s="26"/>
    </row>
    <row r="666" spans="1:4">
      <c r="A666" s="19"/>
      <c r="C666" s="20"/>
      <c r="D666" s="26"/>
    </row>
    <row r="667" spans="1:4">
      <c r="A667" s="19"/>
      <c r="C667" s="20"/>
      <c r="D667" s="26"/>
    </row>
    <row r="668" spans="1:4">
      <c r="A668" s="19"/>
      <c r="C668" s="20"/>
      <c r="D668" s="26"/>
    </row>
    <row r="669" spans="1:4">
      <c r="A669" s="19"/>
      <c r="C669" s="20"/>
      <c r="D669" s="26"/>
    </row>
    <row r="670" spans="1:4">
      <c r="A670" s="19"/>
      <c r="C670" s="20"/>
      <c r="D670" s="26"/>
    </row>
    <row r="671" spans="1:4">
      <c r="A671" s="19"/>
      <c r="C671" s="20"/>
      <c r="D671" s="26"/>
    </row>
    <row r="672" spans="1:4">
      <c r="A672" s="19"/>
      <c r="C672" s="20"/>
      <c r="D672" s="26"/>
    </row>
    <row r="673" spans="1:4">
      <c r="A673" s="19"/>
      <c r="C673" s="20"/>
      <c r="D673" s="26"/>
    </row>
    <row r="674" spans="1:4">
      <c r="A674" s="19"/>
      <c r="C674" s="20"/>
      <c r="D674" s="26"/>
    </row>
    <row r="675" spans="1:4">
      <c r="A675" s="19"/>
      <c r="C675" s="20"/>
      <c r="D675" s="26"/>
    </row>
    <row r="676" spans="1:4">
      <c r="A676" s="19"/>
      <c r="C676" s="20"/>
      <c r="D676" s="26"/>
    </row>
    <row r="677" spans="1:4">
      <c r="A677" s="19"/>
      <c r="C677" s="20"/>
      <c r="D677" s="26"/>
    </row>
    <row r="678" spans="1:4">
      <c r="A678" s="19"/>
      <c r="C678" s="20"/>
      <c r="D678" s="26"/>
    </row>
    <row r="679" spans="1:4">
      <c r="A679" s="19"/>
      <c r="C679" s="20"/>
      <c r="D679" s="26"/>
    </row>
    <row r="680" spans="1:4">
      <c r="A680" s="19"/>
      <c r="C680" s="20"/>
      <c r="D680" s="26"/>
    </row>
    <row r="681" spans="1:4">
      <c r="A681" s="19"/>
      <c r="C681" s="20"/>
      <c r="D681" s="26"/>
    </row>
    <row r="682" spans="1:4">
      <c r="A682" s="19"/>
      <c r="C682" s="20"/>
      <c r="D682" s="26"/>
    </row>
    <row r="683" spans="1:4">
      <c r="A683" s="19"/>
      <c r="C683" s="20"/>
      <c r="D683" s="26"/>
    </row>
    <row r="684" spans="1:4">
      <c r="A684" s="19"/>
      <c r="C684" s="20"/>
      <c r="D684" s="26"/>
    </row>
    <row r="685" spans="1:4">
      <c r="A685" s="19"/>
      <c r="C685" s="20"/>
      <c r="D685" s="26"/>
    </row>
    <row r="686" spans="1:4">
      <c r="A686" s="19"/>
      <c r="C686" s="20"/>
      <c r="D686" s="26"/>
    </row>
    <row r="687" spans="1:4">
      <c r="A687" s="19"/>
      <c r="C687" s="20"/>
      <c r="D687" s="26"/>
    </row>
    <row r="688" spans="1:4">
      <c r="A688" s="19"/>
      <c r="C688" s="20"/>
      <c r="D688" s="26"/>
    </row>
    <row r="689" spans="1:4">
      <c r="A689" s="19"/>
      <c r="C689" s="20"/>
      <c r="D689" s="26"/>
    </row>
    <row r="690" spans="1:4">
      <c r="A690" s="19"/>
      <c r="C690" s="20"/>
      <c r="D690" s="26"/>
    </row>
    <row r="691" spans="1:4">
      <c r="A691" s="19"/>
      <c r="C691" s="20"/>
      <c r="D691" s="26"/>
    </row>
    <row r="692" spans="1:4">
      <c r="A692" s="19"/>
      <c r="C692" s="20"/>
      <c r="D692" s="26"/>
    </row>
    <row r="693" spans="1:4">
      <c r="A693" s="19"/>
      <c r="C693" s="20"/>
      <c r="D693" s="26"/>
    </row>
    <row r="694" spans="1:4">
      <c r="A694" s="19"/>
      <c r="C694" s="20"/>
      <c r="D694" s="26"/>
    </row>
    <row r="695" spans="1:4">
      <c r="A695" s="19"/>
      <c r="C695" s="20"/>
      <c r="D695" s="26"/>
    </row>
    <row r="696" spans="1:4">
      <c r="A696" s="19"/>
      <c r="C696" s="20"/>
      <c r="D696" s="26"/>
    </row>
    <row r="697" spans="1:4">
      <c r="A697" s="19"/>
      <c r="C697" s="20"/>
      <c r="D697" s="26"/>
    </row>
    <row r="698" spans="1:4">
      <c r="A698" s="19"/>
      <c r="C698" s="20"/>
      <c r="D698" s="26"/>
    </row>
    <row r="699" spans="1:4">
      <c r="A699" s="19"/>
      <c r="C699" s="20"/>
      <c r="D699" s="26"/>
    </row>
    <row r="700" spans="1:4">
      <c r="A700" s="19"/>
      <c r="C700" s="20"/>
      <c r="D700" s="26"/>
    </row>
    <row r="701" spans="1:4">
      <c r="A701" s="19"/>
      <c r="C701" s="20"/>
      <c r="D701" s="26"/>
    </row>
    <row r="702" spans="1:4">
      <c r="A702" s="19"/>
      <c r="C702" s="20"/>
      <c r="D702" s="26"/>
    </row>
    <row r="703" spans="1:4">
      <c r="A703" s="19"/>
      <c r="C703" s="20"/>
      <c r="D703" s="26"/>
    </row>
    <row r="704" spans="1:4">
      <c r="A704" s="19"/>
      <c r="C704" s="20"/>
      <c r="D704" s="26"/>
    </row>
    <row r="705" spans="1:4">
      <c r="A705" s="19"/>
      <c r="C705" s="20"/>
      <c r="D705" s="26"/>
    </row>
    <row r="706" spans="1:4">
      <c r="A706" s="19"/>
      <c r="C706" s="20"/>
      <c r="D706" s="26"/>
    </row>
    <row r="707" spans="1:4">
      <c r="A707" s="19"/>
      <c r="C707" s="20"/>
      <c r="D707" s="26"/>
    </row>
    <row r="708" spans="1:4">
      <c r="A708" s="19"/>
      <c r="C708" s="20"/>
      <c r="D708" s="26"/>
    </row>
    <row r="709" spans="1:4">
      <c r="A709" s="19"/>
      <c r="C709" s="20"/>
      <c r="D709" s="26"/>
    </row>
    <row r="710" spans="1:4">
      <c r="A710" s="19"/>
      <c r="C710" s="20"/>
      <c r="D710" s="26"/>
    </row>
    <row r="711" spans="1:4">
      <c r="A711" s="19"/>
      <c r="C711" s="20"/>
      <c r="D711" s="26"/>
    </row>
    <row r="712" spans="1:4">
      <c r="A712" s="19"/>
      <c r="C712" s="20"/>
      <c r="D712" s="26"/>
    </row>
    <row r="713" spans="1:4">
      <c r="A713" s="19"/>
      <c r="C713" s="20"/>
      <c r="D713" s="26"/>
    </row>
    <row r="714" spans="1:4">
      <c r="A714" s="19"/>
      <c r="C714" s="20"/>
      <c r="D714" s="26"/>
    </row>
    <row r="715" spans="1:4">
      <c r="A715" s="19"/>
      <c r="C715" s="20"/>
      <c r="D715" s="26"/>
    </row>
    <row r="716" spans="1:4">
      <c r="A716" s="19"/>
      <c r="C716" s="20"/>
      <c r="D716" s="26"/>
    </row>
    <row r="717" spans="1:4">
      <c r="A717" s="19"/>
      <c r="C717" s="20"/>
      <c r="D717" s="26"/>
    </row>
    <row r="718" spans="1:4">
      <c r="A718" s="19"/>
      <c r="C718" s="20"/>
      <c r="D718" s="26"/>
    </row>
    <row r="719" spans="1:4">
      <c r="A719" s="19"/>
      <c r="C719" s="20"/>
      <c r="D719" s="26"/>
    </row>
    <row r="720" spans="1:4">
      <c r="A720" s="19"/>
      <c r="C720" s="20"/>
      <c r="D720" s="26"/>
    </row>
    <row r="721" spans="1:4">
      <c r="A721" s="19"/>
      <c r="C721" s="20"/>
      <c r="D721" s="26"/>
    </row>
    <row r="722" spans="1:4">
      <c r="A722" s="19"/>
      <c r="C722" s="20"/>
      <c r="D722" s="26"/>
    </row>
    <row r="723" spans="1:4">
      <c r="A723" s="19"/>
      <c r="C723" s="20"/>
      <c r="D723" s="26"/>
    </row>
    <row r="724" spans="1:4">
      <c r="A724" s="19"/>
      <c r="C724" s="20"/>
      <c r="D724" s="26"/>
    </row>
    <row r="725" spans="1:4">
      <c r="A725" s="19"/>
      <c r="C725" s="20"/>
      <c r="D725" s="26"/>
    </row>
    <row r="726" spans="1:4">
      <c r="A726" s="19"/>
      <c r="C726" s="20"/>
      <c r="D726" s="26"/>
    </row>
    <row r="727" spans="1:4">
      <c r="A727" s="19"/>
      <c r="C727" s="20"/>
      <c r="D727" s="26"/>
    </row>
    <row r="728" spans="1:4">
      <c r="A728" s="19"/>
      <c r="C728" s="20"/>
      <c r="D728" s="26"/>
    </row>
    <row r="729" spans="1:4">
      <c r="A729" s="19"/>
      <c r="C729" s="20"/>
      <c r="D729" s="26"/>
    </row>
    <row r="730" spans="1:4">
      <c r="A730" s="19"/>
      <c r="C730" s="20"/>
      <c r="D730" s="26"/>
    </row>
    <row r="731" spans="1:4">
      <c r="A731" s="19"/>
      <c r="C731" s="20"/>
      <c r="D731" s="26"/>
    </row>
    <row r="732" spans="1:4">
      <c r="A732" s="19"/>
      <c r="C732" s="20"/>
      <c r="D732" s="26"/>
    </row>
    <row r="733" spans="1:4">
      <c r="A733" s="19"/>
      <c r="C733" s="20"/>
      <c r="D733" s="26"/>
    </row>
    <row r="734" spans="1:4">
      <c r="A734" s="19"/>
      <c r="C734" s="20"/>
      <c r="D734" s="26"/>
    </row>
    <row r="735" spans="1:4">
      <c r="A735" s="19"/>
      <c r="C735" s="20"/>
      <c r="D735" s="26"/>
    </row>
    <row r="736" spans="1:4">
      <c r="A736" s="19"/>
      <c r="C736" s="20"/>
      <c r="D736" s="26"/>
    </row>
    <row r="737" spans="1:4">
      <c r="A737" s="19"/>
      <c r="C737" s="20"/>
      <c r="D737" s="26"/>
    </row>
    <row r="738" spans="1:4">
      <c r="A738" s="19"/>
      <c r="C738" s="20"/>
      <c r="D738" s="26"/>
    </row>
    <row r="739" spans="1:4">
      <c r="A739" s="19"/>
      <c r="C739" s="20"/>
      <c r="D739" s="26"/>
    </row>
    <row r="740" spans="1:4">
      <c r="A740" s="19"/>
      <c r="C740" s="20"/>
      <c r="D740" s="26"/>
    </row>
    <row r="741" spans="1:4">
      <c r="A741" s="19"/>
      <c r="C741" s="20"/>
      <c r="D741" s="26"/>
    </row>
    <row r="742" spans="1:4">
      <c r="A742" s="19"/>
      <c r="C742" s="20"/>
      <c r="D742" s="26"/>
    </row>
    <row r="743" spans="1:4">
      <c r="A743" s="19"/>
      <c r="C743" s="20"/>
      <c r="D743" s="26"/>
    </row>
    <row r="744" spans="1:4">
      <c r="A744" s="19"/>
      <c r="C744" s="20"/>
      <c r="D744" s="26"/>
    </row>
    <row r="745" spans="1:4">
      <c r="A745" s="19"/>
      <c r="C745" s="20"/>
      <c r="D745" s="26"/>
    </row>
    <row r="746" spans="1:4">
      <c r="A746" s="19"/>
      <c r="C746" s="20"/>
      <c r="D746" s="26"/>
    </row>
    <row r="747" spans="1:4">
      <c r="A747" s="19"/>
      <c r="C747" s="20"/>
      <c r="D747" s="26"/>
    </row>
    <row r="748" spans="1:4">
      <c r="A748" s="19"/>
      <c r="C748" s="20"/>
      <c r="D748" s="26"/>
    </row>
    <row r="749" spans="1:4">
      <c r="A749" s="19"/>
      <c r="C749" s="20"/>
      <c r="D749" s="26"/>
    </row>
    <row r="750" spans="1:4">
      <c r="A750" s="19"/>
      <c r="C750" s="20"/>
      <c r="D750" s="26"/>
    </row>
    <row r="751" spans="1:4">
      <c r="A751" s="19"/>
      <c r="C751" s="20"/>
      <c r="D751" s="26"/>
    </row>
    <row r="752" spans="1:4">
      <c r="A752" s="19"/>
      <c r="C752" s="20"/>
      <c r="D752" s="26"/>
    </row>
    <row r="753" spans="1:4">
      <c r="A753" s="19"/>
      <c r="C753" s="20"/>
      <c r="D753" s="26"/>
    </row>
    <row r="754" spans="1:4">
      <c r="A754" s="19"/>
      <c r="C754" s="20"/>
      <c r="D754" s="26"/>
    </row>
    <row r="755" spans="1:4">
      <c r="A755" s="19"/>
      <c r="C755" s="20"/>
      <c r="D755" s="26"/>
    </row>
    <row r="756" spans="1:4">
      <c r="A756" s="19"/>
      <c r="C756" s="20"/>
      <c r="D756" s="26"/>
    </row>
    <row r="757" spans="1:4">
      <c r="A757" s="19"/>
      <c r="C757" s="20"/>
      <c r="D757" s="26"/>
    </row>
    <row r="758" spans="1:4">
      <c r="A758" s="19"/>
      <c r="C758" s="20"/>
      <c r="D758" s="26"/>
    </row>
    <row r="759" spans="1:4">
      <c r="A759" s="19"/>
      <c r="C759" s="20"/>
      <c r="D759" s="26"/>
    </row>
    <row r="760" spans="1:4">
      <c r="A760" s="19"/>
      <c r="C760" s="20"/>
      <c r="D760" s="26"/>
    </row>
    <row r="761" spans="1:4">
      <c r="A761" s="19"/>
      <c r="C761" s="20"/>
      <c r="D761" s="26"/>
    </row>
    <row r="762" spans="1:4">
      <c r="A762" s="19"/>
      <c r="C762" s="20"/>
      <c r="D762" s="26"/>
    </row>
    <row r="763" spans="1:4">
      <c r="A763" s="19"/>
      <c r="C763" s="20"/>
      <c r="D763" s="26"/>
    </row>
    <row r="764" spans="1:4">
      <c r="A764" s="19"/>
      <c r="C764" s="20"/>
      <c r="D764" s="26"/>
    </row>
    <row r="765" spans="1:4">
      <c r="A765" s="19"/>
      <c r="C765" s="20"/>
      <c r="D765" s="26"/>
    </row>
    <row r="766" spans="1:4">
      <c r="A766" s="19"/>
      <c r="C766" s="20"/>
      <c r="D766" s="26"/>
    </row>
    <row r="767" spans="1:4">
      <c r="A767" s="19"/>
      <c r="C767" s="20"/>
      <c r="D767" s="26"/>
    </row>
    <row r="768" spans="1:4">
      <c r="A768" s="19"/>
      <c r="C768" s="20"/>
      <c r="D768" s="26"/>
    </row>
    <row r="769" spans="1:4">
      <c r="A769" s="19"/>
      <c r="C769" s="20"/>
      <c r="D769" s="26"/>
    </row>
    <row r="770" spans="1:4">
      <c r="A770" s="19"/>
      <c r="C770" s="20"/>
      <c r="D770" s="26"/>
    </row>
    <row r="771" spans="1:4">
      <c r="A771" s="19"/>
      <c r="C771" s="20"/>
      <c r="D771" s="26"/>
    </row>
    <row r="772" spans="1:4">
      <c r="A772" s="19"/>
      <c r="C772" s="20"/>
      <c r="D772" s="26"/>
    </row>
    <row r="773" spans="1:4">
      <c r="A773" s="19"/>
      <c r="C773" s="20"/>
      <c r="D773" s="26"/>
    </row>
    <row r="774" spans="1:4">
      <c r="A774" s="19"/>
      <c r="C774" s="20"/>
      <c r="D774" s="26"/>
    </row>
    <row r="775" spans="1:4">
      <c r="A775" s="19"/>
      <c r="C775" s="20"/>
      <c r="D775" s="26"/>
    </row>
    <row r="776" spans="1:4">
      <c r="A776" s="19"/>
      <c r="C776" s="20"/>
      <c r="D776" s="26"/>
    </row>
    <row r="777" spans="1:4">
      <c r="A777" s="19"/>
      <c r="C777" s="20"/>
      <c r="D777" s="26"/>
    </row>
    <row r="778" spans="1:4">
      <c r="A778" s="19"/>
      <c r="C778" s="20"/>
      <c r="D778" s="26"/>
    </row>
    <row r="779" spans="1:4">
      <c r="A779" s="19"/>
      <c r="C779" s="20"/>
      <c r="D779" s="26"/>
    </row>
    <row r="780" spans="1:4">
      <c r="A780" s="19"/>
      <c r="C780" s="20"/>
      <c r="D780" s="26"/>
    </row>
    <row r="781" spans="1:4">
      <c r="A781" s="19"/>
      <c r="C781" s="20"/>
      <c r="D781" s="26"/>
    </row>
    <row r="782" spans="1:4">
      <c r="A782" s="19"/>
      <c r="C782" s="20"/>
      <c r="D782" s="26"/>
    </row>
    <row r="783" spans="1:4">
      <c r="A783" s="19"/>
      <c r="C783" s="20"/>
      <c r="D783" s="26"/>
    </row>
    <row r="784" spans="1:4">
      <c r="A784" s="19"/>
      <c r="C784" s="20"/>
      <c r="D784" s="26"/>
    </row>
    <row r="785" spans="1:4">
      <c r="A785" s="19"/>
      <c r="C785" s="20"/>
      <c r="D785" s="26"/>
    </row>
    <row r="786" spans="1:4">
      <c r="A786" s="19"/>
      <c r="C786" s="20"/>
      <c r="D786" s="26"/>
    </row>
    <row r="787" spans="1:4">
      <c r="A787" s="19"/>
      <c r="C787" s="20"/>
      <c r="D787" s="26"/>
    </row>
    <row r="788" spans="1:4">
      <c r="A788" s="19"/>
      <c r="C788" s="20"/>
      <c r="D788" s="26"/>
    </row>
    <row r="789" spans="1:4">
      <c r="A789" s="19"/>
      <c r="C789" s="20"/>
      <c r="D789" s="26"/>
    </row>
    <row r="790" spans="1:4">
      <c r="A790" s="19"/>
      <c r="C790" s="20"/>
      <c r="D790" s="26"/>
    </row>
    <row r="791" spans="1:4">
      <c r="A791" s="19"/>
      <c r="C791" s="20"/>
      <c r="D791" s="26"/>
    </row>
    <row r="792" spans="1:4">
      <c r="A792" s="19"/>
      <c r="C792" s="20"/>
      <c r="D792" s="26"/>
    </row>
    <row r="793" spans="1:4">
      <c r="A793" s="19"/>
      <c r="C793" s="20"/>
      <c r="D793" s="26"/>
    </row>
    <row r="794" spans="1:4">
      <c r="A794" s="19"/>
      <c r="C794" s="20"/>
      <c r="D794" s="26"/>
    </row>
    <row r="795" spans="1:4">
      <c r="A795" s="19"/>
      <c r="C795" s="20"/>
      <c r="D795" s="26"/>
    </row>
    <row r="796" spans="1:4">
      <c r="A796" s="19"/>
      <c r="C796" s="20"/>
      <c r="D796" s="26"/>
    </row>
    <row r="797" spans="1:4">
      <c r="A797" s="19"/>
      <c r="C797" s="20"/>
      <c r="D797" s="26"/>
    </row>
    <row r="798" spans="1:4">
      <c r="A798" s="19"/>
      <c r="C798" s="20"/>
      <c r="D798" s="26"/>
    </row>
    <row r="799" spans="1:4">
      <c r="A799" s="19"/>
      <c r="C799" s="20"/>
      <c r="D799" s="26"/>
    </row>
    <row r="800" spans="1:4">
      <c r="A800" s="19"/>
      <c r="C800" s="20"/>
      <c r="D800" s="26"/>
    </row>
    <row r="801" spans="1:4">
      <c r="A801" s="19"/>
      <c r="C801" s="20"/>
      <c r="D801" s="26"/>
    </row>
    <row r="802" spans="1:4">
      <c r="A802" s="19"/>
      <c r="C802" s="20"/>
      <c r="D802" s="26"/>
    </row>
    <row r="803" spans="1:4">
      <c r="A803" s="19"/>
      <c r="C803" s="20"/>
      <c r="D803" s="26"/>
    </row>
    <row r="804" spans="1:4">
      <c r="A804" s="19"/>
      <c r="C804" s="20"/>
      <c r="D804" s="26"/>
    </row>
    <row r="805" spans="1:4">
      <c r="A805" s="19"/>
      <c r="C805" s="20"/>
      <c r="D805" s="26"/>
    </row>
    <row r="806" spans="1:4">
      <c r="A806" s="19"/>
      <c r="C806" s="20"/>
      <c r="D806" s="26"/>
    </row>
    <row r="807" spans="1:4">
      <c r="A807" s="19"/>
      <c r="C807" s="20"/>
      <c r="D807" s="26"/>
    </row>
    <row r="808" spans="1:4">
      <c r="A808" s="19"/>
      <c r="C808" s="20"/>
      <c r="D808" s="26"/>
    </row>
    <row r="809" spans="1:4">
      <c r="A809" s="19"/>
      <c r="C809" s="20"/>
      <c r="D809" s="26"/>
    </row>
    <row r="810" spans="1:4">
      <c r="A810" s="19"/>
      <c r="C810" s="20"/>
      <c r="D810" s="26"/>
    </row>
    <row r="811" spans="1:4">
      <c r="A811" s="19"/>
      <c r="C811" s="20"/>
      <c r="D811" s="26"/>
    </row>
    <row r="812" spans="1:4">
      <c r="A812" s="19"/>
      <c r="C812" s="20"/>
      <c r="D812" s="26"/>
    </row>
    <row r="813" spans="1:4">
      <c r="A813" s="19"/>
      <c r="C813" s="20"/>
      <c r="D813" s="26"/>
    </row>
    <row r="814" spans="1:4">
      <c r="A814" s="19"/>
      <c r="C814" s="20"/>
      <c r="D814" s="26"/>
    </row>
    <row r="815" spans="1:4">
      <c r="A815" s="19"/>
      <c r="C815" s="20"/>
      <c r="D815" s="26"/>
    </row>
    <row r="816" spans="1:4">
      <c r="A816" s="19"/>
      <c r="C816" s="20"/>
      <c r="D816" s="26"/>
    </row>
    <row r="817" spans="1:4">
      <c r="A817" s="19"/>
      <c r="C817" s="20"/>
      <c r="D817" s="26"/>
    </row>
    <row r="818" spans="1:4">
      <c r="A818" s="19"/>
      <c r="C818" s="20"/>
      <c r="D818" s="26"/>
    </row>
    <row r="819" spans="1:4">
      <c r="A819" s="19"/>
      <c r="C819" s="20"/>
      <c r="D819" s="26"/>
    </row>
    <row r="820" spans="1:4">
      <c r="A820" s="19"/>
      <c r="C820" s="20"/>
      <c r="D820" s="26"/>
    </row>
    <row r="821" spans="1:4">
      <c r="A821" s="19"/>
      <c r="C821" s="20"/>
      <c r="D821" s="26"/>
    </row>
    <row r="822" spans="1:4">
      <c r="A822" s="19"/>
      <c r="C822" s="20"/>
      <c r="D822" s="26"/>
    </row>
    <row r="823" spans="1:4">
      <c r="A823" s="19"/>
      <c r="C823" s="20"/>
      <c r="D823" s="26"/>
    </row>
    <row r="824" spans="1:4">
      <c r="A824" s="19"/>
      <c r="C824" s="20"/>
      <c r="D824" s="26"/>
    </row>
    <row r="825" spans="1:4">
      <c r="A825" s="19"/>
      <c r="C825" s="20"/>
      <c r="D825" s="26"/>
    </row>
    <row r="826" spans="1:4">
      <c r="A826" s="19"/>
      <c r="C826" s="20"/>
      <c r="D826" s="26"/>
    </row>
    <row r="827" spans="1:4">
      <c r="A827" s="19"/>
      <c r="C827" s="20"/>
      <c r="D827" s="26"/>
    </row>
    <row r="828" spans="1:4">
      <c r="A828" s="19"/>
      <c r="C828" s="20"/>
      <c r="D828" s="26"/>
    </row>
    <row r="829" spans="1:4">
      <c r="A829" s="19"/>
      <c r="C829" s="20"/>
      <c r="D829" s="26"/>
    </row>
    <row r="830" spans="1:4">
      <c r="A830" s="19"/>
      <c r="C830" s="20"/>
      <c r="D830" s="26"/>
    </row>
    <row r="831" spans="1:4">
      <c r="A831" s="19"/>
      <c r="C831" s="20"/>
      <c r="D831" s="26"/>
    </row>
    <row r="832" spans="1:4">
      <c r="A832" s="19"/>
      <c r="C832" s="20"/>
      <c r="D832" s="26"/>
    </row>
    <row r="833" spans="1:4">
      <c r="A833" s="19"/>
      <c r="C833" s="20"/>
      <c r="D833" s="26"/>
    </row>
    <row r="834" spans="1:4">
      <c r="A834" s="19"/>
      <c r="C834" s="20"/>
      <c r="D834" s="26"/>
    </row>
    <row r="835" spans="1:4">
      <c r="A835" s="19"/>
      <c r="C835" s="20"/>
      <c r="D835" s="26"/>
    </row>
    <row r="836" spans="1:4">
      <c r="A836" s="19"/>
      <c r="C836" s="20"/>
      <c r="D836" s="26"/>
    </row>
    <row r="837" spans="1:4">
      <c r="A837" s="19"/>
      <c r="C837" s="20"/>
      <c r="D837" s="26"/>
    </row>
    <row r="838" spans="1:4">
      <c r="A838" s="19"/>
      <c r="C838" s="20"/>
      <c r="D838" s="26"/>
    </row>
    <row r="839" spans="1:4">
      <c r="A839" s="19"/>
      <c r="C839" s="20"/>
      <c r="D839" s="26"/>
    </row>
    <row r="840" spans="1:4">
      <c r="A840" s="19"/>
      <c r="C840" s="20"/>
      <c r="D840" s="26"/>
    </row>
    <row r="841" spans="1:4">
      <c r="A841" s="19"/>
      <c r="C841" s="20"/>
      <c r="D841" s="26"/>
    </row>
    <row r="842" spans="1:4">
      <c r="A842" s="19"/>
      <c r="C842" s="20"/>
      <c r="D842" s="26"/>
    </row>
    <row r="843" spans="1:4">
      <c r="A843" s="19"/>
      <c r="C843" s="20"/>
      <c r="D843" s="26"/>
    </row>
    <row r="844" spans="1:4">
      <c r="A844" s="19"/>
      <c r="C844" s="20"/>
      <c r="D844" s="26"/>
    </row>
    <row r="845" spans="1:4">
      <c r="A845" s="19"/>
      <c r="C845" s="20"/>
      <c r="D845" s="26"/>
    </row>
    <row r="846" spans="1:4">
      <c r="A846" s="19"/>
      <c r="C846" s="20"/>
      <c r="D846" s="26"/>
    </row>
    <row r="847" spans="1:4">
      <c r="A847" s="19"/>
      <c r="C847" s="20"/>
      <c r="D847" s="26"/>
    </row>
    <row r="848" spans="1:4">
      <c r="A848" s="19"/>
      <c r="C848" s="20"/>
      <c r="D848" s="26"/>
    </row>
    <row r="849" spans="1:4">
      <c r="A849" s="19"/>
      <c r="C849" s="20"/>
      <c r="D849" s="26"/>
    </row>
    <row r="850" spans="1:4">
      <c r="A850" s="19"/>
      <c r="C850" s="20"/>
      <c r="D850" s="26"/>
    </row>
    <row r="851" spans="1:4">
      <c r="A851" s="19"/>
      <c r="C851" s="20"/>
      <c r="D851" s="26"/>
    </row>
    <row r="852" spans="1:4">
      <c r="A852" s="19"/>
      <c r="C852" s="20"/>
      <c r="D852" s="26"/>
    </row>
    <row r="853" spans="1:4">
      <c r="A853" s="19"/>
      <c r="C853" s="20"/>
      <c r="D853" s="26"/>
    </row>
    <row r="854" spans="1:4">
      <c r="A854" s="19"/>
      <c r="C854" s="20"/>
      <c r="D854" s="26"/>
    </row>
    <row r="855" spans="1:4">
      <c r="A855" s="19"/>
      <c r="C855" s="20"/>
      <c r="D855" s="26"/>
    </row>
    <row r="856" spans="1:4">
      <c r="A856" s="19"/>
      <c r="C856" s="20"/>
      <c r="D856" s="26"/>
    </row>
    <row r="857" spans="1:4">
      <c r="A857" s="19"/>
      <c r="C857" s="20"/>
      <c r="D857" s="26"/>
    </row>
    <row r="858" spans="1:4">
      <c r="A858" s="19"/>
      <c r="C858" s="20"/>
      <c r="D858" s="26"/>
    </row>
    <row r="859" spans="1:4">
      <c r="A859" s="19"/>
      <c r="C859" s="20"/>
      <c r="D859" s="26"/>
    </row>
    <row r="860" spans="1:4">
      <c r="A860" s="19"/>
      <c r="C860" s="20"/>
      <c r="D860" s="26"/>
    </row>
    <row r="861" spans="1:4">
      <c r="A861" s="19"/>
      <c r="C861" s="20"/>
      <c r="D861" s="26"/>
    </row>
    <row r="862" spans="1:4">
      <c r="A862" s="19"/>
      <c r="C862" s="20"/>
      <c r="D862" s="26"/>
    </row>
    <row r="863" spans="1:4">
      <c r="A863" s="19"/>
      <c r="C863" s="20"/>
      <c r="D863" s="26"/>
    </row>
    <row r="864" spans="1:4">
      <c r="A864" s="19"/>
      <c r="C864" s="20"/>
      <c r="D864" s="26"/>
    </row>
    <row r="865" spans="1:4">
      <c r="A865" s="19"/>
      <c r="C865" s="20"/>
      <c r="D865" s="26"/>
    </row>
    <row r="866" spans="1:4">
      <c r="A866" s="19"/>
      <c r="C866" s="20"/>
      <c r="D866" s="26"/>
    </row>
    <row r="867" spans="1:4">
      <c r="A867" s="19"/>
      <c r="C867" s="20"/>
      <c r="D867" s="26"/>
    </row>
    <row r="868" spans="1:4">
      <c r="A868" s="19"/>
      <c r="C868" s="20"/>
      <c r="D868" s="26"/>
    </row>
    <row r="869" spans="1:4">
      <c r="A869" s="19"/>
      <c r="C869" s="20"/>
      <c r="D869" s="26"/>
    </row>
    <row r="870" spans="1:4">
      <c r="A870" s="19"/>
      <c r="C870" s="20"/>
      <c r="D870" s="26"/>
    </row>
    <row r="871" spans="1:4">
      <c r="A871" s="19"/>
      <c r="C871" s="20"/>
      <c r="D871" s="26"/>
    </row>
    <row r="872" spans="1:4">
      <c r="A872" s="19"/>
      <c r="C872" s="20"/>
      <c r="D872" s="26"/>
    </row>
    <row r="873" spans="1:4">
      <c r="A873" s="19"/>
      <c r="C873" s="20"/>
      <c r="D873" s="26"/>
    </row>
    <row r="874" spans="1:4">
      <c r="A874" s="19"/>
      <c r="C874" s="20"/>
      <c r="D874" s="26"/>
    </row>
    <row r="875" spans="1:4">
      <c r="A875" s="19"/>
      <c r="C875" s="20"/>
      <c r="D875" s="26"/>
    </row>
    <row r="876" spans="1:4">
      <c r="A876" s="19"/>
      <c r="C876" s="20"/>
      <c r="D876" s="26"/>
    </row>
    <row r="877" spans="1:4">
      <c r="A877" s="19"/>
      <c r="C877" s="20"/>
      <c r="D877" s="26"/>
    </row>
    <row r="878" spans="1:4">
      <c r="A878" s="19"/>
      <c r="C878" s="20"/>
      <c r="D878" s="26"/>
    </row>
    <row r="879" spans="1:4">
      <c r="A879" s="19"/>
      <c r="C879" s="20"/>
      <c r="D879" s="26"/>
    </row>
    <row r="880" spans="1:4">
      <c r="A880" s="19"/>
      <c r="C880" s="20"/>
      <c r="D880" s="26"/>
    </row>
    <row r="881" spans="1:4">
      <c r="A881" s="19"/>
      <c r="C881" s="20"/>
      <c r="D881" s="26"/>
    </row>
    <row r="882" spans="1:4">
      <c r="A882" s="19"/>
      <c r="C882" s="20"/>
      <c r="D882" s="26"/>
    </row>
    <row r="883" spans="1:4">
      <c r="A883" s="19"/>
      <c r="C883" s="20"/>
      <c r="D883" s="26"/>
    </row>
    <row r="884" spans="1:4">
      <c r="A884" s="19"/>
      <c r="C884" s="20"/>
      <c r="D884" s="26"/>
    </row>
    <row r="885" spans="1:4">
      <c r="A885" s="19"/>
      <c r="C885" s="20"/>
      <c r="D885" s="26"/>
    </row>
    <row r="886" spans="1:4">
      <c r="A886" s="19"/>
      <c r="C886" s="20"/>
      <c r="D886" s="26"/>
    </row>
    <row r="887" spans="1:4">
      <c r="A887" s="19"/>
      <c r="C887" s="20"/>
      <c r="D887" s="26"/>
    </row>
    <row r="888" spans="1:4">
      <c r="A888" s="19"/>
      <c r="C888" s="20"/>
      <c r="D888" s="26"/>
    </row>
    <row r="889" spans="1:4">
      <c r="A889" s="19"/>
      <c r="C889" s="20"/>
      <c r="D889" s="26"/>
    </row>
    <row r="890" spans="1:4">
      <c r="A890" s="19"/>
      <c r="C890" s="20"/>
      <c r="D890" s="26"/>
    </row>
    <row r="891" spans="1:4">
      <c r="A891" s="19"/>
      <c r="C891" s="20"/>
      <c r="D891" s="26"/>
    </row>
    <row r="892" spans="1:4">
      <c r="A892" s="19"/>
      <c r="C892" s="20"/>
      <c r="D892" s="26"/>
    </row>
    <row r="893" spans="1:4">
      <c r="A893" s="19"/>
      <c r="C893" s="20"/>
      <c r="D893" s="26"/>
    </row>
    <row r="894" spans="1:4">
      <c r="A894" s="19"/>
      <c r="C894" s="20"/>
      <c r="D894" s="26"/>
    </row>
    <row r="895" spans="1:4">
      <c r="A895" s="19"/>
      <c r="C895" s="20"/>
      <c r="D895" s="26"/>
    </row>
    <row r="896" spans="1:4">
      <c r="A896" s="19"/>
      <c r="C896" s="20"/>
      <c r="D896" s="26"/>
    </row>
    <row r="897" spans="1:4">
      <c r="A897" s="19"/>
      <c r="C897" s="20"/>
      <c r="D897" s="26"/>
    </row>
    <row r="898" spans="1:4">
      <c r="A898" s="19"/>
      <c r="C898" s="20"/>
      <c r="D898" s="26"/>
    </row>
    <row r="899" spans="1:4">
      <c r="A899" s="19"/>
      <c r="C899" s="20"/>
      <c r="D899" s="26"/>
    </row>
    <row r="900" spans="1:4">
      <c r="A900" s="19"/>
      <c r="C900" s="20"/>
      <c r="D900" s="26"/>
    </row>
    <row r="901" spans="1:4">
      <c r="A901" s="19"/>
      <c r="C901" s="20"/>
      <c r="D901" s="26"/>
    </row>
    <row r="902" spans="1:4">
      <c r="A902" s="19"/>
      <c r="C902" s="20"/>
      <c r="D902" s="26"/>
    </row>
    <row r="903" spans="1:4">
      <c r="A903" s="19"/>
      <c r="C903" s="20"/>
      <c r="D903" s="26"/>
    </row>
    <row r="904" spans="1:4">
      <c r="A904" s="19"/>
      <c r="C904" s="20"/>
      <c r="D904" s="26"/>
    </row>
    <row r="905" spans="1:4">
      <c r="A905" s="19"/>
      <c r="C905" s="20"/>
      <c r="D905" s="26"/>
    </row>
    <row r="906" spans="1:4">
      <c r="A906" s="19"/>
      <c r="C906" s="20"/>
      <c r="D906" s="26"/>
    </row>
    <row r="907" spans="1:4">
      <c r="A907" s="19"/>
      <c r="C907" s="20"/>
      <c r="D907" s="26"/>
    </row>
    <row r="908" spans="1:4">
      <c r="A908" s="19"/>
      <c r="C908" s="20"/>
      <c r="D908" s="26"/>
    </row>
    <row r="909" spans="1:4">
      <c r="A909" s="19"/>
      <c r="C909" s="20"/>
      <c r="D909" s="26"/>
    </row>
    <row r="910" spans="1:4">
      <c r="A910" s="19"/>
      <c r="C910" s="20"/>
      <c r="D910" s="26"/>
    </row>
    <row r="911" spans="1:4">
      <c r="A911" s="19"/>
      <c r="C911" s="20"/>
      <c r="D911" s="26"/>
    </row>
    <row r="912" spans="1:4">
      <c r="A912" s="19"/>
      <c r="C912" s="20"/>
      <c r="D912" s="26"/>
    </row>
    <row r="913" spans="1:4">
      <c r="A913" s="19"/>
      <c r="C913" s="20"/>
      <c r="D913" s="26"/>
    </row>
    <row r="914" spans="1:4">
      <c r="A914" s="19"/>
      <c r="C914" s="20"/>
      <c r="D914" s="26"/>
    </row>
    <row r="915" spans="1:4">
      <c r="A915" s="19"/>
      <c r="C915" s="20"/>
      <c r="D915" s="26"/>
    </row>
    <row r="916" spans="1:4">
      <c r="A916" s="19"/>
      <c r="C916" s="20"/>
      <c r="D916" s="26"/>
    </row>
    <row r="917" spans="1:4">
      <c r="A917" s="19"/>
      <c r="C917" s="20"/>
      <c r="D917" s="26"/>
    </row>
    <row r="918" spans="1:4">
      <c r="A918" s="19"/>
      <c r="C918" s="20"/>
      <c r="D918" s="26"/>
    </row>
    <row r="919" spans="1:4">
      <c r="A919" s="19"/>
      <c r="C919" s="20"/>
      <c r="D919" s="26"/>
    </row>
    <row r="920" spans="1:4">
      <c r="A920" s="19"/>
      <c r="C920" s="20"/>
      <c r="D920" s="26"/>
    </row>
    <row r="921" spans="1:4">
      <c r="A921" s="19"/>
      <c r="C921" s="20"/>
      <c r="D921" s="26"/>
    </row>
    <row r="922" spans="1:4">
      <c r="A922" s="19"/>
      <c r="C922" s="20"/>
      <c r="D922" s="26"/>
    </row>
    <row r="923" spans="1:4">
      <c r="A923" s="19"/>
      <c r="C923" s="20"/>
      <c r="D923" s="26"/>
    </row>
    <row r="924" spans="1:4">
      <c r="A924" s="19"/>
      <c r="C924" s="20"/>
      <c r="D924" s="26"/>
    </row>
    <row r="925" spans="1:4">
      <c r="A925" s="19"/>
      <c r="C925" s="20"/>
      <c r="D925" s="26"/>
    </row>
    <row r="926" spans="1:4">
      <c r="A926" s="19"/>
      <c r="C926" s="20"/>
      <c r="D926" s="26"/>
    </row>
    <row r="927" spans="1:4">
      <c r="A927" s="19"/>
      <c r="C927" s="20"/>
      <c r="D927" s="26"/>
    </row>
    <row r="928" spans="1:4">
      <c r="A928" s="19"/>
      <c r="C928" s="20"/>
      <c r="D928" s="26"/>
    </row>
    <row r="929" spans="1:4">
      <c r="A929" s="19"/>
      <c r="C929" s="20"/>
      <c r="D929" s="26"/>
    </row>
    <row r="930" spans="1:4">
      <c r="A930" s="19"/>
      <c r="C930" s="20"/>
      <c r="D930" s="26"/>
    </row>
    <row r="931" spans="1:4">
      <c r="A931" s="19"/>
      <c r="C931" s="20"/>
      <c r="D931" s="26"/>
    </row>
    <row r="932" spans="1:4">
      <c r="A932" s="19"/>
      <c r="C932" s="20"/>
      <c r="D932" s="26"/>
    </row>
    <row r="933" spans="1:4">
      <c r="A933" s="19"/>
      <c r="C933" s="20"/>
      <c r="D933" s="26"/>
    </row>
    <row r="934" spans="1:4">
      <c r="A934" s="19"/>
      <c r="C934" s="20"/>
      <c r="D934" s="26"/>
    </row>
    <row r="935" spans="1:4">
      <c r="A935" s="19"/>
      <c r="C935" s="20"/>
      <c r="D935" s="26"/>
    </row>
    <row r="936" spans="1:4">
      <c r="A936" s="19"/>
      <c r="C936" s="20"/>
      <c r="D936" s="26"/>
    </row>
    <row r="937" spans="1:4">
      <c r="A937" s="19"/>
      <c r="C937" s="20"/>
      <c r="D937" s="26"/>
    </row>
    <row r="938" spans="1:4">
      <c r="A938" s="19"/>
      <c r="C938" s="20"/>
      <c r="D938" s="26"/>
    </row>
    <row r="939" spans="1:4">
      <c r="A939" s="19"/>
      <c r="C939" s="20"/>
      <c r="D939" s="26"/>
    </row>
    <row r="940" spans="1:4">
      <c r="A940" s="19"/>
      <c r="C940" s="20"/>
      <c r="D940" s="26"/>
    </row>
    <row r="941" spans="1:4">
      <c r="A941" s="19"/>
      <c r="C941" s="20"/>
      <c r="D941" s="26"/>
    </row>
    <row r="942" spans="1:4">
      <c r="A942" s="19"/>
      <c r="C942" s="20"/>
      <c r="D942" s="26"/>
    </row>
    <row r="943" spans="1:4">
      <c r="A943" s="19"/>
      <c r="C943" s="20"/>
      <c r="D943" s="26"/>
    </row>
    <row r="944" spans="1:4">
      <c r="A944" s="19"/>
      <c r="C944" s="20"/>
      <c r="D944" s="26"/>
    </row>
    <row r="945" spans="1:4">
      <c r="A945" s="19"/>
      <c r="C945" s="20"/>
      <c r="D945" s="26"/>
    </row>
    <row r="946" spans="1:4">
      <c r="A946" s="19"/>
      <c r="C946" s="20"/>
      <c r="D946" s="26"/>
    </row>
    <row r="947" spans="1:4">
      <c r="A947" s="19"/>
      <c r="C947" s="20"/>
      <c r="D947" s="26"/>
    </row>
    <row r="948" spans="1:4">
      <c r="A948" s="19"/>
      <c r="C948" s="20"/>
      <c r="D948" s="26"/>
    </row>
    <row r="949" spans="1:4">
      <c r="A949" s="19"/>
      <c r="C949" s="20"/>
      <c r="D949" s="26"/>
    </row>
    <row r="950" spans="1:4">
      <c r="A950" s="19"/>
      <c r="C950" s="20"/>
      <c r="D950" s="26"/>
    </row>
    <row r="951" spans="1:4">
      <c r="A951" s="19"/>
      <c r="C951" s="20"/>
      <c r="D951" s="26"/>
    </row>
    <row r="952" spans="1:4">
      <c r="A952" s="19"/>
      <c r="C952" s="20"/>
      <c r="D952" s="26"/>
    </row>
    <row r="953" spans="1:4">
      <c r="A953" s="19"/>
      <c r="C953" s="20"/>
      <c r="D953" s="26"/>
    </row>
    <row r="954" spans="1:4">
      <c r="A954" s="19"/>
      <c r="C954" s="20"/>
      <c r="D954" s="26"/>
    </row>
    <row r="955" spans="1:4">
      <c r="A955" s="19"/>
      <c r="C955" s="20"/>
      <c r="D955" s="26"/>
    </row>
    <row r="956" spans="1:4">
      <c r="A956" s="19"/>
      <c r="C956" s="20"/>
      <c r="D956" s="26"/>
    </row>
    <row r="957" spans="1:4">
      <c r="A957" s="19"/>
      <c r="C957" s="20"/>
      <c r="D957" s="26"/>
    </row>
    <row r="958" spans="1:4">
      <c r="A958" s="19"/>
      <c r="C958" s="20"/>
      <c r="D958" s="26"/>
    </row>
    <row r="959" spans="1:4">
      <c r="A959" s="19"/>
      <c r="C959" s="20"/>
      <c r="D959" s="26"/>
    </row>
    <row r="960" spans="1:4">
      <c r="A960" s="19"/>
      <c r="C960" s="20"/>
      <c r="D960" s="26"/>
    </row>
    <row r="961" spans="1:4">
      <c r="A961" s="19"/>
      <c r="C961" s="20"/>
      <c r="D961" s="26"/>
    </row>
    <row r="962" spans="1:4">
      <c r="A962" s="19"/>
      <c r="C962" s="20"/>
    </row>
    <row r="963" spans="1:4">
      <c r="A963" s="19"/>
      <c r="C963" s="20"/>
    </row>
    <row r="964" spans="1:4">
      <c r="A964" s="19"/>
      <c r="C964" s="20"/>
    </row>
    <row r="965" spans="1:4">
      <c r="A965" s="19"/>
      <c r="C965" s="20"/>
    </row>
    <row r="966" spans="1:4">
      <c r="A966" s="19"/>
      <c r="C966" s="20"/>
    </row>
    <row r="967" spans="1:4">
      <c r="A967" s="19"/>
      <c r="C967" s="20"/>
    </row>
    <row r="968" spans="1:4">
      <c r="A968" s="19"/>
      <c r="C968" s="20"/>
    </row>
    <row r="969" spans="1:4">
      <c r="A969" s="19"/>
      <c r="C969" s="20"/>
    </row>
    <row r="970" spans="1:4">
      <c r="A970" s="19"/>
      <c r="C970" s="20"/>
    </row>
    <row r="971" spans="1:4">
      <c r="A971" s="19"/>
      <c r="C971" s="20"/>
    </row>
    <row r="972" spans="1:4">
      <c r="A972" s="19"/>
      <c r="C972" s="20"/>
    </row>
    <row r="973" spans="1:4">
      <c r="A973" s="19"/>
      <c r="C973" s="20"/>
    </row>
    <row r="974" spans="1:4">
      <c r="A974" s="19"/>
      <c r="C974" s="20"/>
    </row>
    <row r="975" spans="1:4">
      <c r="A975" s="19"/>
      <c r="C975" s="20"/>
    </row>
    <row r="976" spans="1:4">
      <c r="A976" s="19"/>
      <c r="C976" s="20"/>
    </row>
    <row r="977" spans="1:3">
      <c r="A977" s="19"/>
      <c r="C977" s="20"/>
    </row>
    <row r="978" spans="1:3">
      <c r="A978" s="19"/>
      <c r="C978" s="20"/>
    </row>
    <row r="979" spans="1:3">
      <c r="A979" s="19"/>
      <c r="C979" s="20"/>
    </row>
    <row r="980" spans="1:3">
      <c r="A980" s="19"/>
      <c r="C980" s="20"/>
    </row>
    <row r="981" spans="1:3">
      <c r="A981" s="19"/>
      <c r="C981" s="20"/>
    </row>
    <row r="982" spans="1:3">
      <c r="A982" s="19"/>
      <c r="C982" s="20"/>
    </row>
    <row r="983" spans="1:3">
      <c r="A983" s="19"/>
      <c r="C983" s="20"/>
    </row>
    <row r="984" spans="1:3">
      <c r="A984" s="19"/>
      <c r="C984" s="20"/>
    </row>
    <row r="985" spans="1:3">
      <c r="A985" s="19"/>
      <c r="C985" s="20"/>
    </row>
    <row r="986" spans="1:3">
      <c r="A986" s="19"/>
      <c r="C986" s="20"/>
    </row>
    <row r="987" spans="1:3">
      <c r="A987" s="19"/>
      <c r="C987" s="20"/>
    </row>
    <row r="988" spans="1:3">
      <c r="A988" s="19"/>
      <c r="C988" s="20"/>
    </row>
    <row r="989" spans="1:3">
      <c r="A989" s="19"/>
      <c r="C989" s="20"/>
    </row>
    <row r="990" spans="1:3">
      <c r="A990" s="19"/>
      <c r="C990" s="20"/>
    </row>
    <row r="991" spans="1:3">
      <c r="A991" s="19"/>
      <c r="C991" s="20"/>
    </row>
    <row r="992" spans="1:3">
      <c r="A992" s="19"/>
      <c r="C992" s="20"/>
    </row>
    <row r="993" spans="1:3">
      <c r="A993" s="19"/>
      <c r="C993" s="20"/>
    </row>
    <row r="994" spans="1:3">
      <c r="A994" s="19"/>
      <c r="C994" s="20"/>
    </row>
    <row r="995" spans="1:3">
      <c r="A995" s="19"/>
      <c r="C995" s="20"/>
    </row>
    <row r="996" spans="1:3">
      <c r="A996" s="19"/>
      <c r="C996" s="20"/>
    </row>
    <row r="997" spans="1:3">
      <c r="A997" s="19"/>
      <c r="C997" s="20"/>
    </row>
    <row r="998" spans="1:3">
      <c r="A998" s="19"/>
      <c r="C998" s="20"/>
    </row>
    <row r="999" spans="1:3">
      <c r="A999" s="19"/>
      <c r="C999" s="20"/>
    </row>
    <row r="1000" spans="1:3">
      <c r="A1000" s="19"/>
      <c r="C1000" s="20"/>
    </row>
    <row r="1001" spans="1:3">
      <c r="A1001" s="19"/>
      <c r="C1001" s="20"/>
    </row>
    <row r="1002" spans="1:3">
      <c r="A1002" s="19"/>
      <c r="C1002" s="20"/>
    </row>
    <row r="1003" spans="1:3">
      <c r="A1003" s="19"/>
      <c r="C1003" s="20"/>
    </row>
    <row r="1004" spans="1:3">
      <c r="A1004" s="19"/>
      <c r="C1004" s="20"/>
    </row>
    <row r="1005" spans="1:3">
      <c r="A1005" s="19"/>
      <c r="C1005" s="20"/>
    </row>
    <row r="1006" spans="1:3">
      <c r="A1006" s="19"/>
      <c r="C1006" s="20"/>
    </row>
    <row r="1007" spans="1:3">
      <c r="A1007" s="19"/>
      <c r="C1007" s="20"/>
    </row>
    <row r="1008" spans="1:3">
      <c r="A1008" s="19"/>
      <c r="C1008" s="20"/>
    </row>
    <row r="1009" spans="1:3">
      <c r="A1009" s="19"/>
      <c r="C1009" s="20"/>
    </row>
    <row r="1010" spans="1:3">
      <c r="A1010" s="19"/>
      <c r="C1010" s="20"/>
    </row>
    <row r="1011" spans="1:3">
      <c r="A1011" s="19"/>
      <c r="C1011" s="20"/>
    </row>
    <row r="1012" spans="1:3">
      <c r="A1012" s="19"/>
      <c r="C1012" s="20"/>
    </row>
    <row r="1013" spans="1:3">
      <c r="A1013" s="19"/>
      <c r="C1013" s="20"/>
    </row>
    <row r="1014" spans="1:3">
      <c r="A1014" s="19"/>
      <c r="C1014" s="20"/>
    </row>
    <row r="1015" spans="1:3">
      <c r="A1015" s="19"/>
      <c r="C1015" s="20"/>
    </row>
    <row r="1016" spans="1:3">
      <c r="A1016" s="19"/>
      <c r="C1016" s="20"/>
    </row>
    <row r="1017" spans="1:3">
      <c r="A1017" s="19"/>
      <c r="C1017" s="20"/>
    </row>
    <row r="1018" spans="1:3">
      <c r="A1018" s="19"/>
      <c r="C1018" s="20"/>
    </row>
    <row r="1019" spans="1:3">
      <c r="A1019" s="19"/>
      <c r="C1019" s="20"/>
    </row>
    <row r="1020" spans="1:3">
      <c r="A1020" s="19"/>
      <c r="C1020" s="20"/>
    </row>
    <row r="1021" spans="1:3">
      <c r="A1021" s="19"/>
      <c r="C1021" s="20"/>
    </row>
    <row r="1022" spans="1:3">
      <c r="A1022" s="19"/>
      <c r="C1022" s="20"/>
    </row>
    <row r="1023" spans="1:3">
      <c r="A1023" s="19"/>
      <c r="C1023" s="20"/>
    </row>
    <row r="1024" spans="1:3">
      <c r="A1024" s="19"/>
      <c r="C1024" s="20"/>
    </row>
    <row r="1025" spans="1:3">
      <c r="A1025" s="19"/>
      <c r="C1025" s="20"/>
    </row>
    <row r="1026" spans="1:3">
      <c r="A1026" s="19"/>
      <c r="C1026" s="20"/>
    </row>
    <row r="1027" spans="1:3">
      <c r="A1027" s="19"/>
      <c r="C1027" s="20"/>
    </row>
    <row r="1028" spans="1:3">
      <c r="A1028" s="19"/>
      <c r="C1028" s="20"/>
    </row>
    <row r="1029" spans="1:3">
      <c r="A1029" s="19"/>
      <c r="C1029" s="20"/>
    </row>
    <row r="1030" spans="1:3">
      <c r="A1030" s="19"/>
      <c r="C1030" s="20"/>
    </row>
    <row r="1031" spans="1:3">
      <c r="A1031" s="19"/>
      <c r="C1031" s="20"/>
    </row>
    <row r="1032" spans="1:3">
      <c r="A1032" s="19"/>
      <c r="C1032" s="20"/>
    </row>
    <row r="1033" spans="1:3">
      <c r="A1033" s="19"/>
      <c r="C1033" s="20"/>
    </row>
    <row r="1034" spans="1:3">
      <c r="A1034" s="19"/>
      <c r="C1034" s="20"/>
    </row>
    <row r="1035" spans="1:3">
      <c r="A1035" s="19"/>
      <c r="C1035" s="20"/>
    </row>
    <row r="1036" spans="1:3">
      <c r="A1036" s="19"/>
      <c r="C1036" s="20"/>
    </row>
    <row r="1037" spans="1:3">
      <c r="A1037" s="19"/>
      <c r="C1037" s="20"/>
    </row>
    <row r="1038" spans="1:3">
      <c r="A1038" s="19"/>
      <c r="C1038" s="20"/>
    </row>
    <row r="1039" spans="1:3">
      <c r="A1039" s="19"/>
      <c r="C1039" s="20"/>
    </row>
    <row r="1040" spans="1:3">
      <c r="A1040" s="19"/>
      <c r="C1040" s="20"/>
    </row>
    <row r="1041" spans="1:3">
      <c r="A1041" s="19"/>
      <c r="C1041" s="20"/>
    </row>
    <row r="1042" spans="1:3">
      <c r="A1042" s="19"/>
      <c r="C1042" s="20"/>
    </row>
    <row r="1043" spans="1:3">
      <c r="A1043" s="19"/>
      <c r="C1043" s="20"/>
    </row>
    <row r="1044" spans="1:3">
      <c r="A1044" s="19"/>
      <c r="C1044" s="20"/>
    </row>
    <row r="1045" spans="1:3">
      <c r="A1045" s="19"/>
      <c r="C1045" s="20"/>
    </row>
    <row r="1046" spans="1:3">
      <c r="A1046" s="19"/>
      <c r="C1046" s="20"/>
    </row>
    <row r="1047" spans="1:3">
      <c r="A1047" s="19"/>
      <c r="C1047" s="20"/>
    </row>
    <row r="1048" spans="1:3">
      <c r="A1048" s="19"/>
      <c r="C1048" s="20"/>
    </row>
    <row r="1049" spans="1:3">
      <c r="A1049" s="19"/>
      <c r="C1049" s="20"/>
    </row>
    <row r="1050" spans="1:3">
      <c r="A1050" s="19"/>
      <c r="C1050" s="20"/>
    </row>
    <row r="1051" spans="1:3">
      <c r="A1051" s="19"/>
      <c r="C1051" s="20"/>
    </row>
    <row r="1052" spans="1:3">
      <c r="A1052" s="19"/>
      <c r="C1052" s="20"/>
    </row>
    <row r="1053" spans="1:3">
      <c r="A1053" s="19"/>
      <c r="C1053" s="20"/>
    </row>
    <row r="1054" spans="1:3">
      <c r="A1054" s="19"/>
      <c r="C1054" s="20"/>
    </row>
    <row r="1055" spans="1:3">
      <c r="A1055" s="19"/>
      <c r="C1055" s="20"/>
    </row>
    <row r="1056" spans="1:3">
      <c r="A1056" s="19"/>
      <c r="C1056" s="20"/>
    </row>
    <row r="1057" spans="1:3">
      <c r="A1057" s="19"/>
      <c r="C1057" s="20"/>
    </row>
    <row r="1058" spans="1:3">
      <c r="A1058" s="19"/>
      <c r="C1058" s="20"/>
    </row>
    <row r="1059" spans="1:3">
      <c r="A1059" s="19"/>
      <c r="C1059" s="20"/>
    </row>
    <row r="1060" spans="1:3">
      <c r="A1060" s="19"/>
      <c r="C1060" s="20"/>
    </row>
    <row r="1061" spans="1:3">
      <c r="A1061" s="19"/>
      <c r="C1061" s="20"/>
    </row>
    <row r="1062" spans="1:3">
      <c r="A1062" s="19"/>
      <c r="C1062" s="20"/>
    </row>
    <row r="1063" spans="1:3">
      <c r="A1063" s="19"/>
      <c r="C1063" s="20"/>
    </row>
    <row r="1064" spans="1:3">
      <c r="A1064" s="19"/>
      <c r="C1064" s="20"/>
    </row>
    <row r="1065" spans="1:3">
      <c r="A1065" s="19"/>
      <c r="C1065" s="20"/>
    </row>
    <row r="1066" spans="1:3">
      <c r="A1066" s="19"/>
      <c r="C1066" s="20"/>
    </row>
    <row r="1067" spans="1:3">
      <c r="A1067" s="19"/>
      <c r="C1067" s="20"/>
    </row>
    <row r="1068" spans="1:3">
      <c r="A1068" s="19"/>
      <c r="C1068" s="20"/>
    </row>
    <row r="1069" spans="1:3">
      <c r="A1069" s="19"/>
      <c r="C1069" s="20"/>
    </row>
    <row r="1070" spans="1:3">
      <c r="A1070" s="19"/>
      <c r="C1070" s="20"/>
    </row>
    <row r="1071" spans="1:3">
      <c r="A1071" s="19"/>
      <c r="C1071" s="20"/>
    </row>
    <row r="1072" spans="1:3">
      <c r="A1072" s="19"/>
      <c r="C1072" s="20"/>
    </row>
    <row r="1073" spans="1:3">
      <c r="A1073" s="19"/>
      <c r="C1073" s="20"/>
    </row>
    <row r="1074" spans="1:3">
      <c r="A1074" s="19"/>
      <c r="C1074" s="20"/>
    </row>
    <row r="1075" spans="1:3">
      <c r="A1075" s="19"/>
      <c r="C1075" s="20"/>
    </row>
    <row r="1076" spans="1:3">
      <c r="A1076" s="19"/>
      <c r="C1076" s="20"/>
    </row>
    <row r="1077" spans="1:3">
      <c r="A1077" s="19"/>
      <c r="C1077" s="20"/>
    </row>
    <row r="1078" spans="1:3">
      <c r="A1078" s="19"/>
      <c r="C1078" s="20"/>
    </row>
    <row r="1079" spans="1:3">
      <c r="A1079" s="19"/>
      <c r="C1079" s="20"/>
    </row>
    <row r="1080" spans="1:3">
      <c r="A1080" s="19"/>
      <c r="C1080" s="20"/>
    </row>
    <row r="1081" spans="1:3">
      <c r="A1081" s="19"/>
      <c r="C1081" s="20"/>
    </row>
    <row r="1082" spans="1:3">
      <c r="A1082" s="19"/>
      <c r="C1082" s="20"/>
    </row>
    <row r="1083" spans="1:3">
      <c r="A1083" s="19"/>
      <c r="C1083" s="20"/>
    </row>
    <row r="1084" spans="1:3">
      <c r="A1084" s="19"/>
      <c r="C1084" s="20"/>
    </row>
    <row r="1085" spans="1:3">
      <c r="A1085" s="19"/>
      <c r="C1085" s="20"/>
    </row>
    <row r="1086" spans="1:3">
      <c r="A1086" s="19"/>
      <c r="C1086" s="20"/>
    </row>
    <row r="1087" spans="1:3">
      <c r="A1087" s="19"/>
      <c r="C1087" s="20"/>
    </row>
    <row r="1088" spans="1:3">
      <c r="A1088" s="19"/>
      <c r="C1088" s="20"/>
    </row>
    <row r="1089" spans="1:3">
      <c r="A1089" s="19"/>
      <c r="C1089" s="20"/>
    </row>
    <row r="1090" spans="1:3">
      <c r="A1090" s="19"/>
      <c r="C1090" s="20"/>
    </row>
    <row r="1091" spans="1:3">
      <c r="A1091" s="19"/>
      <c r="C1091" s="20"/>
    </row>
    <row r="1092" spans="1:3">
      <c r="A1092" s="19"/>
      <c r="C1092" s="20"/>
    </row>
    <row r="1093" spans="1:3">
      <c r="A1093" s="19"/>
      <c r="C1093" s="20"/>
    </row>
    <row r="1094" spans="1:3">
      <c r="A1094" s="19"/>
      <c r="C1094" s="20"/>
    </row>
    <row r="1095" spans="1:3">
      <c r="A1095" s="19"/>
      <c r="C1095" s="20"/>
    </row>
    <row r="1096" spans="1:3">
      <c r="A1096" s="19"/>
      <c r="C1096" s="20"/>
    </row>
    <row r="1097" spans="1:3">
      <c r="A1097" s="19"/>
      <c r="C1097" s="20"/>
    </row>
    <row r="1098" spans="1:3">
      <c r="A1098" s="19"/>
      <c r="C1098" s="20"/>
    </row>
    <row r="1099" spans="1:3">
      <c r="A1099" s="19"/>
      <c r="C1099" s="20"/>
    </row>
    <row r="1100" spans="1:3">
      <c r="A1100" s="19"/>
      <c r="C1100" s="20"/>
    </row>
    <row r="1101" spans="1:3">
      <c r="A1101" s="19"/>
      <c r="C1101" s="20"/>
    </row>
    <row r="1102" spans="1:3">
      <c r="A1102" s="19"/>
      <c r="C1102" s="20"/>
    </row>
    <row r="1103" spans="1:3">
      <c r="A1103" s="19"/>
      <c r="C1103" s="20"/>
    </row>
    <row r="1104" spans="1:3">
      <c r="A1104" s="19"/>
      <c r="C1104" s="20"/>
    </row>
    <row r="1105" spans="1:3">
      <c r="A1105" s="19"/>
      <c r="C1105" s="20"/>
    </row>
    <row r="1106" spans="1:3">
      <c r="A1106" s="19"/>
      <c r="C1106" s="20"/>
    </row>
    <row r="1107" spans="1:3">
      <c r="A1107" s="19"/>
      <c r="C1107" s="20"/>
    </row>
    <row r="1108" spans="1:3">
      <c r="A1108" s="19"/>
      <c r="C1108" s="20"/>
    </row>
    <row r="1109" spans="1:3">
      <c r="A1109" s="19"/>
      <c r="C1109" s="20"/>
    </row>
    <row r="1110" spans="1:3">
      <c r="A1110" s="19"/>
      <c r="C1110" s="20"/>
    </row>
    <row r="1111" spans="1:3">
      <c r="A1111" s="19"/>
      <c r="C1111" s="20"/>
    </row>
    <row r="1112" spans="1:3">
      <c r="A1112" s="19"/>
      <c r="C1112" s="20"/>
    </row>
    <row r="1113" spans="1:3">
      <c r="A1113" s="19"/>
      <c r="C1113" s="20"/>
    </row>
    <row r="1114" spans="1:3">
      <c r="A1114" s="19"/>
      <c r="C1114" s="20"/>
    </row>
    <row r="1115" spans="1:3">
      <c r="A1115" s="19"/>
      <c r="C1115" s="20"/>
    </row>
    <row r="1116" spans="1:3">
      <c r="A1116" s="19"/>
      <c r="C1116" s="20"/>
    </row>
    <row r="1117" spans="1:3">
      <c r="A1117" s="19"/>
      <c r="C1117" s="20"/>
    </row>
    <row r="1118" spans="1:3">
      <c r="A1118" s="19"/>
      <c r="C1118" s="20"/>
    </row>
    <row r="1119" spans="1:3">
      <c r="A1119" s="19"/>
      <c r="C1119" s="20"/>
    </row>
    <row r="1120" spans="1:3">
      <c r="A1120" s="19"/>
      <c r="C1120" s="20"/>
    </row>
    <row r="1121" spans="1:3">
      <c r="A1121" s="19"/>
      <c r="C1121" s="20"/>
    </row>
    <row r="1122" spans="1:3">
      <c r="A1122" s="19"/>
      <c r="C1122" s="20"/>
    </row>
    <row r="1123" spans="1:3">
      <c r="A1123" s="19"/>
      <c r="C1123" s="20"/>
    </row>
    <row r="1124" spans="1:3">
      <c r="A1124" s="19"/>
      <c r="C1124" s="20"/>
    </row>
    <row r="1125" spans="1:3">
      <c r="A1125" s="19"/>
      <c r="C1125" s="20"/>
    </row>
    <row r="1126" spans="1:3">
      <c r="A1126" s="19"/>
      <c r="C1126" s="20"/>
    </row>
    <row r="1127" spans="1:3">
      <c r="A1127" s="19"/>
      <c r="C1127" s="20"/>
    </row>
    <row r="1128" spans="1:3">
      <c r="A1128" s="19"/>
      <c r="C1128" s="20"/>
    </row>
    <row r="1129" spans="1:3">
      <c r="A1129" s="19"/>
      <c r="C1129" s="20"/>
    </row>
    <row r="1130" spans="1:3">
      <c r="A1130" s="19"/>
      <c r="C1130" s="20"/>
    </row>
    <row r="1131" spans="1:3">
      <c r="A1131" s="19"/>
      <c r="C1131" s="20"/>
    </row>
    <row r="1132" spans="1:3">
      <c r="A1132" s="19"/>
      <c r="C1132" s="20"/>
    </row>
    <row r="1133" spans="1:3">
      <c r="A1133" s="19"/>
      <c r="C1133" s="20"/>
    </row>
    <row r="1134" spans="1:3">
      <c r="A1134" s="19"/>
      <c r="C1134" s="20"/>
    </row>
    <row r="1135" spans="1:3">
      <c r="A1135" s="19"/>
      <c r="C1135" s="20"/>
    </row>
    <row r="1136" spans="1:3">
      <c r="A1136" s="19"/>
      <c r="C1136" s="20"/>
    </row>
    <row r="1137" spans="1:3">
      <c r="A1137" s="19"/>
      <c r="C1137" s="20"/>
    </row>
    <row r="1138" spans="1:3">
      <c r="A1138" s="19"/>
      <c r="C1138" s="20"/>
    </row>
    <row r="1139" spans="1:3">
      <c r="A1139" s="19"/>
      <c r="C1139" s="20"/>
    </row>
    <row r="1140" spans="1:3">
      <c r="A1140" s="19"/>
      <c r="C1140" s="20"/>
    </row>
    <row r="1141" spans="1:3">
      <c r="A1141" s="19"/>
      <c r="C1141" s="20"/>
    </row>
    <row r="1142" spans="1:3">
      <c r="A1142" s="19"/>
      <c r="C1142" s="20"/>
    </row>
    <row r="1143" spans="1:3">
      <c r="A1143" s="19"/>
      <c r="C1143" s="20"/>
    </row>
    <row r="1144" spans="1:3">
      <c r="A1144" s="19"/>
      <c r="C1144" s="20"/>
    </row>
    <row r="1145" spans="1:3">
      <c r="A1145" s="19"/>
      <c r="C1145" s="20"/>
    </row>
    <row r="1146" spans="1:3">
      <c r="A1146" s="19"/>
      <c r="C1146" s="20"/>
    </row>
    <row r="1147" spans="1:3">
      <c r="A1147" s="19"/>
      <c r="C1147" s="20"/>
    </row>
    <row r="1148" spans="1:3">
      <c r="A1148" s="19"/>
      <c r="C1148" s="20"/>
    </row>
    <row r="1149" spans="1:3">
      <c r="A1149" s="19"/>
      <c r="C1149" s="20"/>
    </row>
    <row r="1150" spans="1:3">
      <c r="A1150" s="19"/>
      <c r="C1150" s="20"/>
    </row>
    <row r="1151" spans="1:3">
      <c r="A1151" s="19"/>
      <c r="C1151" s="20"/>
    </row>
    <row r="1152" spans="1:3">
      <c r="A1152" s="19"/>
      <c r="C1152" s="20"/>
    </row>
    <row r="1153" spans="1:3">
      <c r="A1153" s="19"/>
      <c r="C1153" s="20"/>
    </row>
    <row r="1154" spans="1:3">
      <c r="A1154" s="19"/>
      <c r="C1154" s="20"/>
    </row>
    <row r="1155" spans="1:3">
      <c r="A1155" s="19"/>
      <c r="C1155" s="20"/>
    </row>
    <row r="1156" spans="1:3">
      <c r="A1156" s="19"/>
      <c r="C1156" s="20"/>
    </row>
    <row r="1157" spans="1:3">
      <c r="A1157" s="19"/>
      <c r="C1157" s="20"/>
    </row>
    <row r="1158" spans="1:3">
      <c r="A1158" s="19"/>
      <c r="C1158" s="20"/>
    </row>
    <row r="1159" spans="1:3">
      <c r="A1159" s="19"/>
      <c r="C1159" s="20"/>
    </row>
    <row r="1160" spans="1:3">
      <c r="A1160" s="19"/>
      <c r="C1160" s="20"/>
    </row>
    <row r="1161" spans="1:3">
      <c r="A1161" s="19"/>
      <c r="C1161" s="20"/>
    </row>
    <row r="1162" spans="1:3">
      <c r="A1162" s="19"/>
      <c r="C1162" s="20"/>
    </row>
    <row r="1163" spans="1:3">
      <c r="A1163" s="19"/>
      <c r="C1163" s="20"/>
    </row>
    <row r="1164" spans="1:3">
      <c r="A1164" s="19"/>
      <c r="C1164" s="20"/>
    </row>
    <row r="1165" spans="1:3">
      <c r="A1165" s="19"/>
      <c r="C1165" s="20"/>
    </row>
    <row r="1166" spans="1:3">
      <c r="A1166" s="19"/>
      <c r="C1166" s="20"/>
    </row>
    <row r="1167" spans="1:3">
      <c r="A1167" s="19"/>
      <c r="C1167" s="20"/>
    </row>
    <row r="1168" spans="1:3">
      <c r="A1168" s="19"/>
      <c r="C1168" s="20"/>
    </row>
    <row r="1169" spans="1:3">
      <c r="A1169" s="19"/>
      <c r="C1169" s="20"/>
    </row>
    <row r="1170" spans="1:3">
      <c r="A1170" s="19"/>
      <c r="C1170" s="20"/>
    </row>
    <row r="1171" spans="1:3">
      <c r="A1171" s="19"/>
      <c r="C1171" s="20"/>
    </row>
    <row r="1172" spans="1:3">
      <c r="A1172" s="19"/>
      <c r="C1172" s="20"/>
    </row>
    <row r="1173" spans="1:3">
      <c r="A1173" s="19"/>
      <c r="C1173" s="20"/>
    </row>
    <row r="1174" spans="1:3">
      <c r="A1174" s="19"/>
      <c r="C1174" s="20"/>
    </row>
    <row r="1175" spans="1:3">
      <c r="A1175" s="19"/>
      <c r="C1175" s="20"/>
    </row>
    <row r="1176" spans="1:3">
      <c r="A1176" s="19"/>
      <c r="C1176" s="20"/>
    </row>
    <row r="1177" spans="1:3">
      <c r="A1177" s="19"/>
      <c r="C1177" s="20"/>
    </row>
    <row r="1178" spans="1:3">
      <c r="A1178" s="19"/>
      <c r="C1178" s="20"/>
    </row>
    <row r="1179" spans="1:3">
      <c r="A1179" s="19"/>
      <c r="C1179" s="20"/>
    </row>
    <row r="1180" spans="1:3">
      <c r="A1180" s="19"/>
      <c r="C1180" s="20"/>
    </row>
    <row r="1181" spans="1:3">
      <c r="A1181" s="19"/>
      <c r="C1181" s="20"/>
    </row>
    <row r="1182" spans="1:3">
      <c r="A1182" s="19"/>
      <c r="C1182" s="20"/>
    </row>
    <row r="1183" spans="1:3">
      <c r="A1183" s="19"/>
      <c r="C1183" s="20"/>
    </row>
    <row r="1184" spans="1:3">
      <c r="A1184" s="19"/>
      <c r="C1184" s="20"/>
    </row>
    <row r="1185" spans="1:3">
      <c r="A1185" s="19"/>
      <c r="C1185" s="20"/>
    </row>
    <row r="1186" spans="1:3">
      <c r="A1186" s="19"/>
      <c r="C1186" s="20"/>
    </row>
    <row r="1187" spans="1:3">
      <c r="A1187" s="19"/>
      <c r="C1187" s="20"/>
    </row>
    <row r="1188" spans="1:3">
      <c r="A1188" s="19"/>
      <c r="C1188" s="20"/>
    </row>
    <row r="1189" spans="1:3">
      <c r="A1189" s="19"/>
      <c r="C1189" s="20"/>
    </row>
    <row r="1190" spans="1:3">
      <c r="A1190" s="19"/>
      <c r="C1190" s="20"/>
    </row>
    <row r="1191" spans="1:3">
      <c r="A1191" s="19"/>
      <c r="C1191" s="20"/>
    </row>
    <row r="1192" spans="1:3">
      <c r="A1192" s="19"/>
      <c r="C1192" s="20"/>
    </row>
    <row r="1193" spans="1:3">
      <c r="A1193" s="19"/>
      <c r="C1193" s="20"/>
    </row>
    <row r="1194" spans="1:3">
      <c r="A1194" s="19"/>
      <c r="C1194" s="20"/>
    </row>
    <row r="1195" spans="1:3">
      <c r="A1195" s="19"/>
      <c r="C1195" s="20"/>
    </row>
    <row r="1196" spans="1:3">
      <c r="A1196" s="19"/>
      <c r="C1196" s="20"/>
    </row>
    <row r="1197" spans="1:3">
      <c r="A1197" s="19"/>
      <c r="C1197" s="20"/>
    </row>
    <row r="1198" spans="1:3">
      <c r="A1198" s="19"/>
      <c r="C1198" s="20"/>
    </row>
    <row r="1199" spans="1:3">
      <c r="A1199" s="19"/>
      <c r="C1199" s="20"/>
    </row>
    <row r="1200" spans="1:3">
      <c r="A1200" s="19"/>
      <c r="C1200" s="20"/>
    </row>
    <row r="1201" spans="1:3">
      <c r="A1201" s="19"/>
      <c r="C1201" s="20"/>
    </row>
    <row r="1202" spans="1:3">
      <c r="A1202" s="19"/>
      <c r="C1202" s="20"/>
    </row>
    <row r="1203" spans="1:3">
      <c r="A1203" s="19"/>
      <c r="C1203" s="20"/>
    </row>
    <row r="1204" spans="1:3">
      <c r="A1204" s="19"/>
      <c r="C1204" s="20"/>
    </row>
    <row r="1205" spans="1:3">
      <c r="A1205" s="19"/>
      <c r="C1205" s="20"/>
    </row>
    <row r="1206" spans="1:3">
      <c r="A1206" s="19"/>
      <c r="C1206" s="20"/>
    </row>
    <row r="1207" spans="1:3">
      <c r="A1207" s="19"/>
      <c r="C1207" s="20"/>
    </row>
    <row r="1208" spans="1:3">
      <c r="A1208" s="19"/>
      <c r="C1208" s="20"/>
    </row>
    <row r="1209" spans="1:3">
      <c r="A1209" s="19"/>
      <c r="C1209" s="20"/>
    </row>
    <row r="1210" spans="1:3">
      <c r="A1210" s="19"/>
      <c r="C1210" s="20"/>
    </row>
    <row r="1211" spans="1:3">
      <c r="A1211" s="19"/>
      <c r="C1211" s="20"/>
    </row>
    <row r="1212" spans="1:3">
      <c r="A1212" s="19"/>
      <c r="C1212" s="20"/>
    </row>
    <row r="1213" spans="1:3">
      <c r="A1213" s="19"/>
      <c r="C1213" s="20"/>
    </row>
    <row r="1214" spans="1:3">
      <c r="A1214" s="19"/>
      <c r="C1214" s="20"/>
    </row>
    <row r="1215" spans="1:3">
      <c r="A1215" s="19"/>
      <c r="C1215" s="20"/>
    </row>
    <row r="1216" spans="1:3">
      <c r="A1216" s="19"/>
      <c r="C1216" s="20"/>
    </row>
    <row r="1217" spans="1:3">
      <c r="A1217" s="19"/>
      <c r="C1217" s="20"/>
    </row>
    <row r="1218" spans="1:3">
      <c r="A1218" s="19"/>
      <c r="C1218" s="20"/>
    </row>
    <row r="1219" spans="1:3">
      <c r="A1219" s="19"/>
      <c r="C1219" s="20"/>
    </row>
    <row r="1220" spans="1:3">
      <c r="A1220" s="19"/>
      <c r="C1220" s="20"/>
    </row>
    <row r="1221" spans="1:3">
      <c r="A1221" s="19"/>
      <c r="C1221" s="20"/>
    </row>
    <row r="1222" spans="1:3">
      <c r="A1222" s="19"/>
      <c r="C1222" s="20"/>
    </row>
    <row r="1223" spans="1:3">
      <c r="A1223" s="19"/>
      <c r="C1223" s="20"/>
    </row>
    <row r="1224" spans="1:3">
      <c r="A1224" s="19"/>
      <c r="C1224" s="20"/>
    </row>
    <row r="1225" spans="1:3">
      <c r="A1225" s="19"/>
      <c r="C1225" s="20"/>
    </row>
    <row r="1226" spans="1:3">
      <c r="A1226" s="19"/>
      <c r="C1226" s="20"/>
    </row>
    <row r="1227" spans="1:3">
      <c r="A1227" s="19"/>
      <c r="C1227" s="20"/>
    </row>
    <row r="1228" spans="1:3">
      <c r="A1228" s="19"/>
      <c r="C1228" s="20"/>
    </row>
    <row r="1229" spans="1:3">
      <c r="A1229" s="19"/>
      <c r="C1229" s="20"/>
    </row>
    <row r="1230" spans="1:3">
      <c r="A1230" s="19"/>
      <c r="C1230" s="20"/>
    </row>
    <row r="1231" spans="1:3">
      <c r="A1231" s="19"/>
      <c r="C1231" s="20"/>
    </row>
    <row r="1232" spans="1:3">
      <c r="A1232" s="19"/>
      <c r="C1232" s="20"/>
    </row>
    <row r="1233" spans="1:3">
      <c r="A1233" s="19"/>
      <c r="C1233" s="20"/>
    </row>
    <row r="1234" spans="1:3">
      <c r="A1234" s="19"/>
      <c r="C1234" s="20"/>
    </row>
    <row r="1235" spans="1:3">
      <c r="A1235" s="19"/>
      <c r="C1235" s="20"/>
    </row>
    <row r="1236" spans="1:3">
      <c r="A1236" s="19"/>
      <c r="C1236" s="20"/>
    </row>
    <row r="1237" spans="1:3">
      <c r="A1237" s="19"/>
      <c r="C1237" s="20"/>
    </row>
    <row r="1238" spans="1:3">
      <c r="A1238" s="19"/>
      <c r="C1238" s="20"/>
    </row>
    <row r="1239" spans="1:3">
      <c r="A1239" s="19"/>
      <c r="C1239" s="20"/>
    </row>
    <row r="1240" spans="1:3">
      <c r="A1240" s="19"/>
      <c r="C1240" s="20"/>
    </row>
    <row r="1241" spans="1:3">
      <c r="A1241" s="19"/>
      <c r="C1241" s="20"/>
    </row>
    <row r="1242" spans="1:3">
      <c r="A1242" s="19"/>
      <c r="C1242" s="20"/>
    </row>
    <row r="1243" spans="1:3">
      <c r="A1243" s="19"/>
      <c r="C1243" s="20"/>
    </row>
    <row r="1244" spans="1:3">
      <c r="A1244" s="19"/>
      <c r="C1244" s="20"/>
    </row>
    <row r="1245" spans="1:3">
      <c r="A1245" s="19"/>
      <c r="C1245" s="20"/>
    </row>
    <row r="1246" spans="1:3">
      <c r="A1246" s="19"/>
      <c r="C1246" s="20"/>
    </row>
    <row r="1247" spans="1:3">
      <c r="A1247" s="19"/>
      <c r="C1247" s="20"/>
    </row>
    <row r="1248" spans="1:3">
      <c r="A1248" s="19"/>
      <c r="C1248" s="20"/>
    </row>
    <row r="1249" spans="1:3">
      <c r="A1249" s="19"/>
      <c r="C1249" s="20"/>
    </row>
    <row r="1250" spans="1:3">
      <c r="A1250" s="19"/>
      <c r="C1250" s="20"/>
    </row>
    <row r="1251" spans="1:3">
      <c r="A1251" s="19"/>
      <c r="C1251" s="20"/>
    </row>
    <row r="1252" spans="1:3">
      <c r="A1252" s="19"/>
      <c r="C1252" s="20"/>
    </row>
    <row r="1253" spans="1:3">
      <c r="A1253" s="19"/>
      <c r="C1253" s="20"/>
    </row>
    <row r="1254" spans="1:3">
      <c r="A1254" s="19"/>
      <c r="C1254" s="20"/>
    </row>
    <row r="1255" spans="1:3">
      <c r="A1255" s="19"/>
      <c r="C1255" s="20"/>
    </row>
    <row r="1256" spans="1:3">
      <c r="A1256" s="19"/>
      <c r="C1256" s="20"/>
    </row>
    <row r="1257" spans="1:3">
      <c r="A1257" s="19"/>
      <c r="C1257" s="20"/>
    </row>
    <row r="1258" spans="1:3">
      <c r="A1258" s="19"/>
      <c r="C1258" s="20"/>
    </row>
    <row r="1259" spans="1:3">
      <c r="A1259" s="19"/>
      <c r="C1259" s="20"/>
    </row>
    <row r="1260" spans="1:3">
      <c r="A1260" s="19"/>
      <c r="C1260" s="20"/>
    </row>
    <row r="1261" spans="1:3">
      <c r="A1261" s="19"/>
      <c r="C1261" s="20"/>
    </row>
    <row r="1262" spans="1:3">
      <c r="A1262" s="19"/>
      <c r="C1262" s="20"/>
    </row>
    <row r="1263" spans="1:3">
      <c r="A1263" s="19"/>
      <c r="C1263" s="20"/>
    </row>
    <row r="1264" spans="1:3">
      <c r="A1264" s="19"/>
      <c r="C1264" s="20"/>
    </row>
    <row r="1265" spans="1:3">
      <c r="A1265" s="19"/>
      <c r="C1265" s="20"/>
    </row>
    <row r="1266" spans="1:3">
      <c r="A1266" s="19"/>
      <c r="C1266" s="20"/>
    </row>
    <row r="1267" spans="1:3">
      <c r="A1267" s="19"/>
      <c r="C1267" s="20"/>
    </row>
    <row r="1268" spans="1:3">
      <c r="A1268" s="19"/>
      <c r="C1268" s="20"/>
    </row>
    <row r="1269" spans="1:3">
      <c r="A1269" s="19"/>
      <c r="C1269" s="20"/>
    </row>
    <row r="1270" spans="1:3">
      <c r="A1270" s="19"/>
      <c r="C1270" s="20"/>
    </row>
    <row r="1271" spans="1:3">
      <c r="A1271" s="19"/>
      <c r="C1271" s="20"/>
    </row>
    <row r="1272" spans="1:3">
      <c r="A1272" s="19"/>
      <c r="C1272" s="20"/>
    </row>
    <row r="1273" spans="1:3">
      <c r="A1273" s="19"/>
      <c r="C1273" s="20"/>
    </row>
    <row r="1274" spans="1:3">
      <c r="A1274" s="19"/>
      <c r="C1274" s="20"/>
    </row>
    <row r="1275" spans="1:3">
      <c r="A1275" s="19"/>
      <c r="C1275" s="20"/>
    </row>
    <row r="1276" spans="1:3">
      <c r="A1276" s="19"/>
      <c r="C1276" s="20"/>
    </row>
    <row r="1277" spans="1:3">
      <c r="A1277" s="19"/>
      <c r="C1277" s="20"/>
    </row>
    <row r="1278" spans="1:3">
      <c r="A1278" s="19"/>
      <c r="C1278" s="20"/>
    </row>
    <row r="1279" spans="1:3">
      <c r="A1279" s="19"/>
      <c r="C1279" s="20"/>
    </row>
    <row r="1280" spans="1:3">
      <c r="A1280" s="19"/>
      <c r="C1280" s="20"/>
    </row>
    <row r="1281" spans="1:3">
      <c r="A1281" s="19"/>
      <c r="C1281" s="20"/>
    </row>
    <row r="1282" spans="1:3">
      <c r="A1282" s="19"/>
      <c r="C1282" s="20"/>
    </row>
    <row r="1283" spans="1:3">
      <c r="A1283" s="19"/>
      <c r="C1283" s="20"/>
    </row>
    <row r="1284" spans="1:3">
      <c r="A1284" s="19"/>
      <c r="C1284" s="20"/>
    </row>
    <row r="1285" spans="1:3">
      <c r="A1285" s="19"/>
      <c r="C1285" s="20"/>
    </row>
    <row r="1286" spans="1:3">
      <c r="A1286" s="19"/>
      <c r="C1286" s="20"/>
    </row>
    <row r="1287" spans="1:3">
      <c r="A1287" s="19"/>
      <c r="C1287" s="20"/>
    </row>
    <row r="1288" spans="1:3">
      <c r="A1288" s="19"/>
      <c r="C1288" s="20"/>
    </row>
    <row r="1289" spans="1:3">
      <c r="A1289" s="19"/>
      <c r="C1289" s="20"/>
    </row>
    <row r="1290" spans="1:3">
      <c r="A1290" s="19"/>
      <c r="C1290" s="20"/>
    </row>
    <row r="1291" spans="1:3">
      <c r="A1291" s="19"/>
      <c r="C1291" s="20"/>
    </row>
    <row r="1292" spans="1:3">
      <c r="A1292" s="19"/>
      <c r="C1292" s="20"/>
    </row>
    <row r="1293" spans="1:3">
      <c r="A1293" s="19"/>
      <c r="C1293" s="20"/>
    </row>
    <row r="1294" spans="1:3">
      <c r="A1294" s="19"/>
      <c r="C1294" s="20"/>
    </row>
    <row r="1295" spans="1:3">
      <c r="A1295" s="19"/>
      <c r="C1295" s="20"/>
    </row>
    <row r="1296" spans="1:3">
      <c r="A1296" s="19"/>
      <c r="C1296" s="20"/>
    </row>
    <row r="1297" spans="1:3">
      <c r="A1297" s="19"/>
      <c r="C1297" s="20"/>
    </row>
    <row r="1298" spans="1:3">
      <c r="A1298" s="19"/>
      <c r="C1298" s="20"/>
    </row>
    <row r="1299" spans="1:3">
      <c r="A1299" s="19"/>
      <c r="C1299" s="20"/>
    </row>
    <row r="1300" spans="1:3">
      <c r="A1300" s="19"/>
      <c r="C1300" s="20"/>
    </row>
    <row r="1301" spans="1:3">
      <c r="A1301" s="19"/>
      <c r="C1301" s="20"/>
    </row>
    <row r="1302" spans="1:3">
      <c r="A1302" s="19"/>
      <c r="C1302" s="20"/>
    </row>
    <row r="1303" spans="1:3">
      <c r="A1303" s="19"/>
      <c r="C1303" s="20"/>
    </row>
    <row r="1304" spans="1:3">
      <c r="A1304" s="19"/>
      <c r="C1304" s="20"/>
    </row>
    <row r="1305" spans="1:3">
      <c r="A1305" s="19"/>
      <c r="C1305" s="20"/>
    </row>
    <row r="1306" spans="1:3">
      <c r="A1306" s="19"/>
      <c r="C1306" s="20"/>
    </row>
    <row r="1307" spans="1:3">
      <c r="A1307" s="19"/>
      <c r="C1307" s="20"/>
    </row>
    <row r="1308" spans="1:3">
      <c r="A1308" s="19"/>
      <c r="C1308" s="20"/>
    </row>
    <row r="1309" spans="1:3">
      <c r="A1309" s="19"/>
      <c r="C1309" s="20"/>
    </row>
    <row r="1310" spans="1:3">
      <c r="A1310" s="19"/>
      <c r="C1310" s="20"/>
    </row>
    <row r="1311" spans="1:3">
      <c r="A1311" s="19"/>
      <c r="C1311" s="20"/>
    </row>
    <row r="1312" spans="1:3">
      <c r="A1312" s="19"/>
      <c r="C1312" s="20"/>
    </row>
    <row r="1313" spans="1:3">
      <c r="A1313" s="19"/>
      <c r="C1313" s="20"/>
    </row>
    <row r="1314" spans="1:3">
      <c r="A1314" s="19"/>
      <c r="C1314" s="20"/>
    </row>
    <row r="1315" spans="1:3">
      <c r="A1315" s="19"/>
      <c r="C1315" s="20"/>
    </row>
    <row r="1316" spans="1:3">
      <c r="A1316" s="19"/>
      <c r="C1316" s="20"/>
    </row>
    <row r="1317" spans="1:3">
      <c r="A1317" s="19"/>
      <c r="C1317" s="20"/>
    </row>
    <row r="1318" spans="1:3">
      <c r="A1318" s="19"/>
      <c r="C1318" s="20"/>
    </row>
    <row r="1319" spans="1:3">
      <c r="A1319" s="19"/>
      <c r="C1319" s="20"/>
    </row>
    <row r="1320" spans="1:3">
      <c r="A1320" s="19"/>
      <c r="C1320" s="20"/>
    </row>
    <row r="1321" spans="1:3">
      <c r="A1321" s="19"/>
      <c r="C1321" s="20"/>
    </row>
    <row r="1322" spans="1:3">
      <c r="A1322" s="19"/>
      <c r="C1322" s="20"/>
    </row>
    <row r="1323" spans="1:3">
      <c r="A1323" s="19"/>
      <c r="C1323" s="20"/>
    </row>
    <row r="1324" spans="1:3">
      <c r="A1324" s="19"/>
      <c r="C1324" s="20"/>
    </row>
    <row r="1325" spans="1:3">
      <c r="A1325" s="19"/>
      <c r="C1325" s="20"/>
    </row>
    <row r="1326" spans="1:3">
      <c r="A1326" s="19"/>
      <c r="C1326" s="20"/>
    </row>
    <row r="1327" spans="1:3">
      <c r="A1327" s="19"/>
      <c r="C1327" s="20"/>
    </row>
    <row r="1328" spans="1:3">
      <c r="A1328" s="19"/>
      <c r="C1328" s="20"/>
    </row>
    <row r="1329" spans="1:3">
      <c r="A1329" s="19"/>
      <c r="C1329" s="20"/>
    </row>
    <row r="1330" spans="1:3">
      <c r="A1330" s="19"/>
      <c r="C1330" s="20"/>
    </row>
    <row r="1331" spans="1:3">
      <c r="A1331" s="19"/>
      <c r="C1331" s="20"/>
    </row>
    <row r="1332" spans="1:3">
      <c r="A1332" s="19"/>
      <c r="C1332" s="20"/>
    </row>
    <row r="1333" spans="1:3">
      <c r="A1333" s="19"/>
      <c r="C1333" s="20"/>
    </row>
    <row r="1334" spans="1:3">
      <c r="A1334" s="19"/>
      <c r="C1334" s="20"/>
    </row>
    <row r="1335" spans="1:3">
      <c r="A1335" s="19"/>
      <c r="C1335" s="20"/>
    </row>
    <row r="1336" spans="1:3">
      <c r="A1336" s="19"/>
      <c r="C1336" s="20"/>
    </row>
    <row r="1337" spans="1:3">
      <c r="A1337" s="19"/>
      <c r="C1337" s="20"/>
    </row>
    <row r="1338" spans="1:3">
      <c r="A1338" s="19"/>
      <c r="C1338" s="20"/>
    </row>
    <row r="1339" spans="1:3">
      <c r="A1339" s="19"/>
      <c r="C1339" s="20"/>
    </row>
    <row r="1340" spans="1:3">
      <c r="A1340" s="19"/>
      <c r="C1340" s="20"/>
    </row>
    <row r="1341" spans="1:3">
      <c r="A1341" s="19"/>
      <c r="C1341" s="20"/>
    </row>
    <row r="1342" spans="1:3">
      <c r="A1342" s="19"/>
      <c r="C1342" s="20"/>
    </row>
    <row r="1343" spans="1:3">
      <c r="A1343" s="19"/>
      <c r="C1343" s="20"/>
    </row>
    <row r="1344" spans="1:3">
      <c r="A1344" s="19"/>
      <c r="C1344" s="20"/>
    </row>
    <row r="1345" spans="1:3">
      <c r="A1345" s="19"/>
      <c r="C1345" s="20"/>
    </row>
    <row r="1346" spans="1:3">
      <c r="A1346" s="19"/>
      <c r="C1346" s="20"/>
    </row>
    <row r="1347" spans="1:3">
      <c r="A1347" s="19"/>
      <c r="C1347" s="20"/>
    </row>
    <row r="1348" spans="1:3">
      <c r="A1348" s="19"/>
      <c r="C1348" s="20"/>
    </row>
    <row r="1349" spans="1:3">
      <c r="A1349" s="19"/>
      <c r="C1349" s="20"/>
    </row>
    <row r="1350" spans="1:3">
      <c r="A1350" s="19"/>
      <c r="C1350" s="20"/>
    </row>
    <row r="1351" spans="1:3">
      <c r="A1351" s="19"/>
      <c r="C1351" s="20"/>
    </row>
    <row r="1352" spans="1:3">
      <c r="A1352" s="19"/>
      <c r="C1352" s="20"/>
    </row>
    <row r="1353" spans="1:3">
      <c r="A1353" s="19"/>
      <c r="C1353" s="20"/>
    </row>
    <row r="1354" spans="1:3">
      <c r="A1354" s="19"/>
      <c r="C1354" s="20"/>
    </row>
    <row r="1355" spans="1:3">
      <c r="A1355" s="19"/>
      <c r="C1355" s="20"/>
    </row>
    <row r="1356" spans="1:3">
      <c r="A1356" s="19"/>
      <c r="C1356" s="20"/>
    </row>
    <row r="1357" spans="1:3">
      <c r="A1357" s="19"/>
      <c r="C1357" s="20"/>
    </row>
    <row r="1358" spans="1:3">
      <c r="A1358" s="19"/>
      <c r="C1358" s="20"/>
    </row>
    <row r="1359" spans="1:3">
      <c r="A1359" s="19"/>
      <c r="C1359" s="20"/>
    </row>
    <row r="1360" spans="1:3">
      <c r="A1360" s="19"/>
      <c r="C1360" s="20"/>
    </row>
    <row r="1361" spans="1:3">
      <c r="A1361" s="19"/>
      <c r="C1361" s="20"/>
    </row>
    <row r="1362" spans="1:3">
      <c r="A1362" s="19"/>
      <c r="C1362" s="20"/>
    </row>
    <row r="1363" spans="1:3">
      <c r="A1363" s="19"/>
      <c r="C1363" s="20"/>
    </row>
    <row r="1364" spans="1:3">
      <c r="A1364" s="19"/>
      <c r="C1364" s="20"/>
    </row>
    <row r="1365" spans="1:3">
      <c r="A1365" s="19"/>
      <c r="C1365" s="20"/>
    </row>
    <row r="1366" spans="1:3">
      <c r="A1366" s="19"/>
      <c r="C1366" s="20"/>
    </row>
    <row r="1367" spans="1:3">
      <c r="A1367" s="19"/>
      <c r="C1367" s="20"/>
    </row>
    <row r="1368" spans="1:3">
      <c r="A1368" s="19"/>
      <c r="C1368" s="20"/>
    </row>
    <row r="1369" spans="1:3">
      <c r="A1369" s="19"/>
      <c r="C1369" s="20"/>
    </row>
    <row r="1370" spans="1:3">
      <c r="A1370" s="19"/>
      <c r="C1370" s="20"/>
    </row>
    <row r="1371" spans="1:3">
      <c r="A1371" s="19"/>
      <c r="C1371" s="20"/>
    </row>
    <row r="1372" spans="1:3">
      <c r="A1372" s="19"/>
      <c r="C1372" s="20"/>
    </row>
    <row r="1373" spans="1:3">
      <c r="A1373" s="19"/>
      <c r="C1373" s="20"/>
    </row>
    <row r="1374" spans="1:3">
      <c r="A1374" s="19"/>
      <c r="C1374" s="20"/>
    </row>
    <row r="1375" spans="1:3">
      <c r="A1375" s="19"/>
      <c r="C1375" s="20"/>
    </row>
    <row r="1376" spans="1:3">
      <c r="A1376" s="19"/>
      <c r="C1376" s="20"/>
    </row>
    <row r="1377" spans="1:3">
      <c r="A1377" s="19"/>
      <c r="C1377" s="20"/>
    </row>
    <row r="1378" spans="1:3">
      <c r="A1378" s="19"/>
      <c r="C1378" s="20"/>
    </row>
    <row r="1379" spans="1:3">
      <c r="A1379" s="19"/>
      <c r="C1379" s="20"/>
    </row>
    <row r="1380" spans="1:3">
      <c r="A1380" s="19"/>
      <c r="C1380" s="20"/>
    </row>
    <row r="1381" spans="1:3">
      <c r="A1381" s="19"/>
      <c r="C1381" s="20"/>
    </row>
    <row r="1382" spans="1:3">
      <c r="A1382" s="19"/>
      <c r="C1382" s="20"/>
    </row>
    <row r="1383" spans="1:3">
      <c r="A1383" s="19"/>
      <c r="C1383" s="20"/>
    </row>
    <row r="1384" spans="1:3">
      <c r="A1384" s="19"/>
      <c r="C1384" s="20"/>
    </row>
    <row r="1385" spans="1:3">
      <c r="A1385" s="19"/>
      <c r="C1385" s="20"/>
    </row>
    <row r="1386" spans="1:3">
      <c r="A1386" s="19"/>
      <c r="C1386" s="20"/>
    </row>
    <row r="1387" spans="1:3">
      <c r="A1387" s="19"/>
      <c r="C1387" s="20"/>
    </row>
    <row r="1388" spans="1:3">
      <c r="A1388" s="19"/>
      <c r="C1388" s="20"/>
    </row>
    <row r="1389" spans="1:3">
      <c r="A1389" s="19"/>
      <c r="C1389" s="20"/>
    </row>
    <row r="1390" spans="1:3">
      <c r="A1390" s="19"/>
      <c r="C1390" s="20"/>
    </row>
    <row r="1391" spans="1:3">
      <c r="A1391" s="19"/>
      <c r="C1391" s="20"/>
    </row>
    <row r="1392" spans="1:3">
      <c r="A1392" s="19"/>
      <c r="C1392" s="20"/>
    </row>
    <row r="1393" spans="1:3">
      <c r="A1393" s="19"/>
      <c r="C1393" s="20"/>
    </row>
    <row r="1394" spans="1:3">
      <c r="A1394" s="19"/>
      <c r="C1394" s="20"/>
    </row>
    <row r="1395" spans="1:3">
      <c r="A1395" s="19"/>
      <c r="C1395" s="20"/>
    </row>
    <row r="1396" spans="1:3">
      <c r="A1396" s="19"/>
      <c r="C1396" s="20"/>
    </row>
    <row r="1397" spans="1:3">
      <c r="A1397" s="19"/>
      <c r="C1397" s="20"/>
    </row>
    <row r="1398" spans="1:3">
      <c r="A1398" s="19"/>
      <c r="C1398" s="20"/>
    </row>
    <row r="1399" spans="1:3">
      <c r="A1399" s="19"/>
      <c r="C1399" s="20"/>
    </row>
    <row r="1400" spans="1:3">
      <c r="A1400" s="19"/>
      <c r="C1400" s="20"/>
    </row>
    <row r="1401" spans="1:3">
      <c r="A1401" s="19"/>
      <c r="C1401" s="20"/>
    </row>
    <row r="1402" spans="1:3">
      <c r="A1402" s="19"/>
      <c r="C1402" s="20"/>
    </row>
    <row r="1403" spans="1:3">
      <c r="A1403" s="19"/>
      <c r="C1403" s="20"/>
    </row>
    <row r="1404" spans="1:3">
      <c r="A1404" s="19"/>
      <c r="C1404" s="20"/>
    </row>
    <row r="1405" spans="1:3">
      <c r="A1405" s="19"/>
      <c r="C1405" s="20"/>
    </row>
    <row r="1406" spans="1:3">
      <c r="A1406" s="19"/>
      <c r="C1406" s="20"/>
    </row>
    <row r="1407" spans="1:3">
      <c r="A1407" s="19"/>
      <c r="C1407" s="20"/>
    </row>
    <row r="1408" spans="1:3">
      <c r="A1408" s="19"/>
      <c r="C1408" s="20"/>
    </row>
    <row r="1409" spans="1:3">
      <c r="A1409" s="19"/>
      <c r="C1409" s="20"/>
    </row>
    <row r="1410" spans="1:3">
      <c r="A1410" s="19"/>
      <c r="C1410" s="20"/>
    </row>
    <row r="1411" spans="1:3">
      <c r="A1411" s="19"/>
      <c r="C1411" s="20"/>
    </row>
    <row r="1412" spans="1:3">
      <c r="A1412" s="19"/>
      <c r="C1412" s="20"/>
    </row>
    <row r="1413" spans="1:3">
      <c r="A1413" s="19"/>
      <c r="C1413" s="20"/>
    </row>
    <row r="1414" spans="1:3">
      <c r="A1414" s="19"/>
      <c r="C1414" s="20"/>
    </row>
    <row r="1415" spans="1:3">
      <c r="A1415" s="19"/>
      <c r="C1415" s="20"/>
    </row>
    <row r="1416" spans="1:3">
      <c r="A1416" s="19"/>
      <c r="C1416" s="20"/>
    </row>
    <row r="1417" spans="1:3">
      <c r="A1417" s="19"/>
      <c r="C1417" s="20"/>
    </row>
    <row r="1418" spans="1:3">
      <c r="A1418" s="19"/>
      <c r="C1418" s="20"/>
    </row>
    <row r="1419" spans="1:3">
      <c r="A1419" s="19"/>
      <c r="C1419" s="20"/>
    </row>
    <row r="1420" spans="1:3">
      <c r="A1420" s="19"/>
      <c r="C1420" s="20"/>
    </row>
    <row r="1421" spans="1:3">
      <c r="A1421" s="19"/>
      <c r="C1421" s="20"/>
    </row>
    <row r="1422" spans="1:3">
      <c r="A1422" s="19"/>
      <c r="C1422" s="20"/>
    </row>
    <row r="1423" spans="1:3">
      <c r="A1423" s="19"/>
      <c r="C1423" s="20"/>
    </row>
    <row r="1424" spans="1:3">
      <c r="A1424" s="19"/>
      <c r="C1424" s="20"/>
    </row>
    <row r="1425" spans="1:3">
      <c r="A1425" s="19"/>
      <c r="C1425" s="20"/>
    </row>
    <row r="1426" spans="1:3">
      <c r="C1426" s="20"/>
    </row>
    <row r="1427" spans="1:3">
      <c r="C1427" s="20"/>
    </row>
    <row r="1428" spans="1:3">
      <c r="C1428" s="20"/>
    </row>
    <row r="1429" spans="1:3">
      <c r="C1429" s="20"/>
    </row>
    <row r="1430" spans="1:3">
      <c r="C1430" s="20"/>
    </row>
    <row r="1431" spans="1:3">
      <c r="C1431" s="20"/>
    </row>
    <row r="1432" spans="1:3">
      <c r="C1432" s="20"/>
    </row>
    <row r="1433" spans="1:3">
      <c r="C1433" s="20"/>
    </row>
    <row r="1434" spans="1:3">
      <c r="C1434" s="20"/>
    </row>
    <row r="1435" spans="1:3">
      <c r="C1435" s="20"/>
    </row>
    <row r="1436" spans="1:3">
      <c r="C1436" s="20"/>
    </row>
    <row r="1437" spans="1:3">
      <c r="C1437" s="20"/>
    </row>
    <row r="1438" spans="1:3">
      <c r="C1438" s="20"/>
    </row>
    <row r="1439" spans="1:3">
      <c r="C1439" s="20"/>
    </row>
    <row r="1440" spans="1:3">
      <c r="C1440" s="20"/>
    </row>
    <row r="1441" spans="3:3">
      <c r="C1441" s="20"/>
    </row>
    <row r="1442" spans="3:3">
      <c r="C1442" s="20"/>
    </row>
    <row r="1443" spans="3:3">
      <c r="C1443" s="20"/>
    </row>
    <row r="1444" spans="3:3">
      <c r="C1444" s="20"/>
    </row>
    <row r="1445" spans="3:3">
      <c r="C1445" s="20"/>
    </row>
    <row r="1446" spans="3:3">
      <c r="C1446" s="20"/>
    </row>
    <row r="1447" spans="3:3">
      <c r="C1447" s="20"/>
    </row>
    <row r="1448" spans="3:3">
      <c r="C1448" s="20"/>
    </row>
    <row r="1449" spans="3:3">
      <c r="C1449" s="20"/>
    </row>
    <row r="1450" spans="3:3">
      <c r="C1450" s="20"/>
    </row>
    <row r="1451" spans="3:3">
      <c r="C1451" s="20"/>
    </row>
    <row r="1452" spans="3:3">
      <c r="C1452" s="20"/>
    </row>
    <row r="1453" spans="3:3">
      <c r="C1453" s="20"/>
    </row>
    <row r="1454" spans="3:3">
      <c r="C1454" s="20"/>
    </row>
    <row r="1455" spans="3:3">
      <c r="C1455" s="20"/>
    </row>
    <row r="1456" spans="3:3">
      <c r="C1456" s="20"/>
    </row>
    <row r="1457" spans="3:3">
      <c r="C1457" s="20"/>
    </row>
    <row r="1458" spans="3:3">
      <c r="C1458" s="20"/>
    </row>
    <row r="1459" spans="3:3">
      <c r="C1459" s="20"/>
    </row>
    <row r="1460" spans="3:3">
      <c r="C1460" s="20"/>
    </row>
    <row r="1461" spans="3:3">
      <c r="C1461" s="20"/>
    </row>
    <row r="1462" spans="3:3">
      <c r="C1462" s="20"/>
    </row>
    <row r="1463" spans="3:3">
      <c r="C1463" s="20"/>
    </row>
    <row r="1464" spans="3:3">
      <c r="C1464" s="20"/>
    </row>
    <row r="1465" spans="3:3">
      <c r="C1465" s="20"/>
    </row>
    <row r="1466" spans="3:3">
      <c r="C1466" s="20"/>
    </row>
    <row r="1467" spans="3:3">
      <c r="C1467" s="20"/>
    </row>
    <row r="1468" spans="3:3">
      <c r="C1468" s="20"/>
    </row>
    <row r="1469" spans="3:3">
      <c r="C1469" s="20"/>
    </row>
    <row r="1470" spans="3:3">
      <c r="C1470" s="20"/>
    </row>
    <row r="1471" spans="3:3">
      <c r="C1471" s="20"/>
    </row>
    <row r="1472" spans="3:3">
      <c r="C1472" s="20"/>
    </row>
    <row r="1473" spans="3:3">
      <c r="C1473" s="20"/>
    </row>
    <row r="1474" spans="3:3">
      <c r="C1474" s="20"/>
    </row>
    <row r="1475" spans="3:3">
      <c r="C1475" s="20"/>
    </row>
    <row r="1476" spans="3:3">
      <c r="C1476" s="20"/>
    </row>
    <row r="1477" spans="3:3">
      <c r="C1477" s="20"/>
    </row>
    <row r="1478" spans="3:3">
      <c r="C1478" s="20"/>
    </row>
    <row r="1479" spans="3:3">
      <c r="C1479" s="20"/>
    </row>
    <row r="1480" spans="3:3">
      <c r="C1480" s="20"/>
    </row>
    <row r="1481" spans="3:3">
      <c r="C1481" s="20"/>
    </row>
    <row r="1482" spans="3:3">
      <c r="C1482" s="20"/>
    </row>
    <row r="1483" spans="3:3">
      <c r="C1483" s="20"/>
    </row>
    <row r="1484" spans="3:3">
      <c r="C1484" s="20"/>
    </row>
    <row r="1485" spans="3:3">
      <c r="C1485" s="20"/>
    </row>
    <row r="1486" spans="3:3">
      <c r="C1486" s="20"/>
    </row>
    <row r="1487" spans="3:3">
      <c r="C1487" s="20"/>
    </row>
    <row r="1488" spans="3:3">
      <c r="C1488" s="20"/>
    </row>
    <row r="1489" spans="3:3">
      <c r="C1489" s="20"/>
    </row>
    <row r="1490" spans="3:3">
      <c r="C1490" s="20"/>
    </row>
    <row r="1491" spans="3:3">
      <c r="C1491" s="20"/>
    </row>
    <row r="1492" spans="3:3">
      <c r="C1492" s="20"/>
    </row>
    <row r="1493" spans="3:3">
      <c r="C1493" s="20"/>
    </row>
    <row r="1494" spans="3:3">
      <c r="C1494" s="20"/>
    </row>
    <row r="1495" spans="3:3">
      <c r="C1495" s="20"/>
    </row>
    <row r="1496" spans="3:3">
      <c r="C1496" s="20"/>
    </row>
    <row r="1497" spans="3:3">
      <c r="C1497" s="20"/>
    </row>
    <row r="1498" spans="3:3">
      <c r="C1498" s="20"/>
    </row>
    <row r="1499" spans="3:3">
      <c r="C1499" s="20"/>
    </row>
    <row r="1500" spans="3:3">
      <c r="C1500" s="20"/>
    </row>
    <row r="1501" spans="3:3">
      <c r="C1501" s="20"/>
    </row>
    <row r="1502" spans="3:3">
      <c r="C1502" s="20"/>
    </row>
    <row r="1503" spans="3:3">
      <c r="C1503" s="20"/>
    </row>
    <row r="1504" spans="3:3">
      <c r="C1504" s="20"/>
    </row>
    <row r="1505" spans="3:3">
      <c r="C1505" s="20"/>
    </row>
    <row r="1506" spans="3:3">
      <c r="C1506" s="20"/>
    </row>
    <row r="1507" spans="3:3">
      <c r="C1507" s="20"/>
    </row>
    <row r="1508" spans="3:3">
      <c r="C1508" s="20"/>
    </row>
    <row r="1509" spans="3:3">
      <c r="C1509" s="20"/>
    </row>
    <row r="1510" spans="3:3">
      <c r="C1510" s="20"/>
    </row>
    <row r="1511" spans="3:3">
      <c r="C1511" s="20"/>
    </row>
    <row r="1512" spans="3:3">
      <c r="C1512" s="20"/>
    </row>
    <row r="1513" spans="3:3">
      <c r="C1513" s="20"/>
    </row>
    <row r="1514" spans="3:3">
      <c r="C1514" s="20"/>
    </row>
    <row r="1515" spans="3:3">
      <c r="C1515" s="20"/>
    </row>
    <row r="1516" spans="3:3">
      <c r="C1516" s="20"/>
    </row>
    <row r="1517" spans="3:3">
      <c r="C1517" s="20"/>
    </row>
    <row r="1518" spans="3:3">
      <c r="C1518" s="20"/>
    </row>
    <row r="1519" spans="3:3">
      <c r="C1519" s="20"/>
    </row>
    <row r="1520" spans="3:3">
      <c r="C1520" s="20"/>
    </row>
    <row r="1521" spans="3:3">
      <c r="C1521" s="20"/>
    </row>
    <row r="1522" spans="3:3">
      <c r="C1522" s="20"/>
    </row>
    <row r="1523" spans="3:3">
      <c r="C1523" s="20"/>
    </row>
    <row r="1524" spans="3:3">
      <c r="C1524" s="20"/>
    </row>
    <row r="1525" spans="3:3">
      <c r="C1525" s="20"/>
    </row>
    <row r="1526" spans="3:3">
      <c r="C1526" s="20"/>
    </row>
    <row r="1527" spans="3:3">
      <c r="C1527" s="20"/>
    </row>
    <row r="1528" spans="3:3">
      <c r="C1528" s="20"/>
    </row>
    <row r="1529" spans="3:3">
      <c r="C1529" s="20"/>
    </row>
    <row r="1530" spans="3:3">
      <c r="C1530" s="20"/>
    </row>
    <row r="1531" spans="3:3">
      <c r="C1531" s="20"/>
    </row>
    <row r="1532" spans="3:3">
      <c r="C1532" s="20"/>
    </row>
    <row r="1533" spans="3:3">
      <c r="C1533" s="20"/>
    </row>
    <row r="1534" spans="3:3">
      <c r="C1534" s="20"/>
    </row>
    <row r="1535" spans="3:3">
      <c r="C1535" s="20"/>
    </row>
    <row r="1536" spans="3:3">
      <c r="C1536" s="20"/>
    </row>
    <row r="1537" spans="3:3">
      <c r="C1537" s="20"/>
    </row>
    <row r="1538" spans="3:3">
      <c r="C1538" s="20"/>
    </row>
    <row r="1539" spans="3:3">
      <c r="C1539" s="20"/>
    </row>
    <row r="1540" spans="3:3">
      <c r="C1540" s="20"/>
    </row>
    <row r="1541" spans="3:3">
      <c r="C1541" s="20"/>
    </row>
    <row r="1542" spans="3:3">
      <c r="C1542" s="20"/>
    </row>
    <row r="1543" spans="3:3">
      <c r="C1543" s="20"/>
    </row>
    <row r="1544" spans="3:3">
      <c r="C1544" s="20"/>
    </row>
    <row r="1545" spans="3:3">
      <c r="C1545" s="20"/>
    </row>
    <row r="1546" spans="3:3">
      <c r="C1546" s="20"/>
    </row>
    <row r="1547" spans="3:3">
      <c r="C1547" s="20"/>
    </row>
    <row r="1548" spans="3:3">
      <c r="C1548" s="20"/>
    </row>
    <row r="1549" spans="3:3">
      <c r="C1549" s="20"/>
    </row>
    <row r="1550" spans="3:3">
      <c r="C1550" s="20"/>
    </row>
    <row r="1551" spans="3:3">
      <c r="C1551" s="20"/>
    </row>
    <row r="1552" spans="3:3">
      <c r="C1552" s="20"/>
    </row>
    <row r="1553" spans="3:3">
      <c r="C1553" s="20"/>
    </row>
    <row r="1554" spans="3:3">
      <c r="C1554" s="20"/>
    </row>
    <row r="1555" spans="3:3">
      <c r="C1555" s="20"/>
    </row>
    <row r="1556" spans="3:3">
      <c r="C1556" s="20"/>
    </row>
    <row r="1557" spans="3:3">
      <c r="C1557" s="20"/>
    </row>
    <row r="1558" spans="3:3">
      <c r="C1558" s="20"/>
    </row>
    <row r="1559" spans="3:3">
      <c r="C1559" s="20"/>
    </row>
    <row r="1560" spans="3:3">
      <c r="C1560" s="20"/>
    </row>
    <row r="1561" spans="3:3">
      <c r="C1561" s="20"/>
    </row>
    <row r="1562" spans="3:3">
      <c r="C1562" s="20"/>
    </row>
    <row r="1563" spans="3:3">
      <c r="C1563" s="20"/>
    </row>
    <row r="1564" spans="3:3">
      <c r="C1564" s="20"/>
    </row>
    <row r="1565" spans="3:3">
      <c r="C1565" s="20"/>
    </row>
    <row r="1566" spans="3:3">
      <c r="C1566" s="20"/>
    </row>
    <row r="1567" spans="3:3">
      <c r="C1567" s="20"/>
    </row>
    <row r="1568" spans="3:3">
      <c r="C1568" s="20"/>
    </row>
    <row r="1569" spans="3:3">
      <c r="C1569" s="20"/>
    </row>
    <row r="1570" spans="3:3">
      <c r="C1570" s="20"/>
    </row>
    <row r="1571" spans="3:3">
      <c r="C1571" s="20"/>
    </row>
    <row r="1572" spans="3:3">
      <c r="C1572" s="20"/>
    </row>
    <row r="1573" spans="3:3">
      <c r="C1573" s="20"/>
    </row>
    <row r="1574" spans="3:3">
      <c r="C1574" s="20"/>
    </row>
    <row r="1575" spans="3:3">
      <c r="C1575" s="20"/>
    </row>
    <row r="1576" spans="3:3">
      <c r="C1576" s="20"/>
    </row>
    <row r="1577" spans="3:3">
      <c r="C1577" s="20"/>
    </row>
    <row r="1578" spans="3:3">
      <c r="C1578" s="20"/>
    </row>
    <row r="1579" spans="3:3">
      <c r="C1579" s="20"/>
    </row>
    <row r="1580" spans="3:3">
      <c r="C1580" s="20"/>
    </row>
    <row r="1581" spans="3:3">
      <c r="C1581" s="20"/>
    </row>
    <row r="1582" spans="3:3">
      <c r="C1582" s="20"/>
    </row>
    <row r="1583" spans="3:3">
      <c r="C1583" s="20"/>
    </row>
    <row r="1584" spans="3:3">
      <c r="C1584" s="20"/>
    </row>
    <row r="1585" spans="3:3">
      <c r="C1585" s="20"/>
    </row>
    <row r="1586" spans="3:3">
      <c r="C1586" s="20"/>
    </row>
    <row r="1587" spans="3:3">
      <c r="C1587" s="20"/>
    </row>
    <row r="1588" spans="3:3">
      <c r="C1588" s="20"/>
    </row>
    <row r="1589" spans="3:3">
      <c r="C1589" s="20"/>
    </row>
    <row r="1590" spans="3:3">
      <c r="C1590" s="20"/>
    </row>
    <row r="1591" spans="3:3">
      <c r="C1591" s="20"/>
    </row>
    <row r="1592" spans="3:3">
      <c r="C1592" s="20"/>
    </row>
    <row r="1593" spans="3:3">
      <c r="C1593" s="20"/>
    </row>
    <row r="1594" spans="3:3">
      <c r="C1594" s="20"/>
    </row>
    <row r="1595" spans="3:3">
      <c r="C1595" s="20"/>
    </row>
    <row r="1596" spans="3:3">
      <c r="C1596" s="20"/>
    </row>
    <row r="1597" spans="3:3">
      <c r="C1597" s="20"/>
    </row>
    <row r="1598" spans="3:3">
      <c r="C1598" s="20"/>
    </row>
    <row r="1599" spans="3:3">
      <c r="C1599" s="20"/>
    </row>
    <row r="1600" spans="3:3">
      <c r="C1600" s="20"/>
    </row>
    <row r="1601" spans="3:3">
      <c r="C1601" s="20"/>
    </row>
    <row r="1602" spans="3:3">
      <c r="C1602" s="20"/>
    </row>
    <row r="1603" spans="3:3">
      <c r="C1603" s="20"/>
    </row>
    <row r="1604" spans="3:3">
      <c r="C1604" s="20"/>
    </row>
    <row r="1605" spans="3:3">
      <c r="C1605" s="20"/>
    </row>
    <row r="1606" spans="3:3">
      <c r="C1606" s="20"/>
    </row>
    <row r="1607" spans="3:3">
      <c r="C1607" s="20"/>
    </row>
    <row r="1608" spans="3:3">
      <c r="C1608" s="20"/>
    </row>
    <row r="1609" spans="3:3">
      <c r="C1609" s="20"/>
    </row>
    <row r="1610" spans="3:3">
      <c r="C1610" s="20"/>
    </row>
    <row r="1611" spans="3:3">
      <c r="C1611" s="20"/>
    </row>
    <row r="1612" spans="3:3">
      <c r="C1612" s="20"/>
    </row>
    <row r="1613" spans="3:3">
      <c r="C1613" s="20"/>
    </row>
    <row r="1614" spans="3:3">
      <c r="C1614" s="20"/>
    </row>
    <row r="1615" spans="3:3">
      <c r="C1615" s="20"/>
    </row>
    <row r="1616" spans="3:3">
      <c r="C1616" s="20"/>
    </row>
    <row r="1617" spans="3:3">
      <c r="C1617" s="20"/>
    </row>
    <row r="1618" spans="3:3">
      <c r="C1618" s="20"/>
    </row>
    <row r="1619" spans="3:3">
      <c r="C1619" s="20"/>
    </row>
    <row r="1620" spans="3:3">
      <c r="C1620" s="20"/>
    </row>
    <row r="1621" spans="3:3">
      <c r="C1621" s="20"/>
    </row>
    <row r="1622" spans="3:3">
      <c r="C1622" s="20"/>
    </row>
    <row r="1623" spans="3:3">
      <c r="C1623" s="20"/>
    </row>
    <row r="1624" spans="3:3">
      <c r="C1624" s="20"/>
    </row>
    <row r="1625" spans="3:3">
      <c r="C1625" s="20"/>
    </row>
    <row r="1626" spans="3:3">
      <c r="C1626" s="20"/>
    </row>
    <row r="1627" spans="3:3">
      <c r="C1627" s="20"/>
    </row>
    <row r="1628" spans="3:3">
      <c r="C1628" s="20"/>
    </row>
    <row r="1629" spans="3:3">
      <c r="C1629" s="20"/>
    </row>
    <row r="1630" spans="3:3">
      <c r="C1630" s="20"/>
    </row>
    <row r="1631" spans="3:3">
      <c r="C1631" s="20"/>
    </row>
    <row r="1632" spans="3:3">
      <c r="C1632" s="20"/>
    </row>
    <row r="1633" spans="3:3">
      <c r="C1633" s="20"/>
    </row>
    <row r="1634" spans="3:3">
      <c r="C1634" s="20"/>
    </row>
    <row r="1635" spans="3:3">
      <c r="C1635" s="20"/>
    </row>
    <row r="1636" spans="3:3">
      <c r="C1636" s="20"/>
    </row>
    <row r="1637" spans="3:3">
      <c r="C1637" s="20"/>
    </row>
    <row r="1638" spans="3:3">
      <c r="C1638" s="20"/>
    </row>
    <row r="1639" spans="3:3">
      <c r="C1639" s="20"/>
    </row>
    <row r="1640" spans="3:3">
      <c r="C1640" s="20"/>
    </row>
    <row r="1641" spans="3:3">
      <c r="C1641" s="20"/>
    </row>
    <row r="1642" spans="3:3">
      <c r="C1642" s="20"/>
    </row>
    <row r="1643" spans="3:3">
      <c r="C1643" s="20"/>
    </row>
    <row r="1644" spans="3:3">
      <c r="C1644" s="20"/>
    </row>
    <row r="1645" spans="3:3">
      <c r="C1645" s="20"/>
    </row>
    <row r="1646" spans="3:3">
      <c r="C1646" s="20"/>
    </row>
    <row r="1647" spans="3:3">
      <c r="C1647" s="20"/>
    </row>
    <row r="1648" spans="3:3">
      <c r="C1648" s="20"/>
    </row>
    <row r="1649" spans="3:3">
      <c r="C1649" s="20"/>
    </row>
    <row r="1650" spans="3:3">
      <c r="C1650" s="20"/>
    </row>
    <row r="1651" spans="3:3">
      <c r="C1651" s="20"/>
    </row>
    <row r="1652" spans="3:3">
      <c r="C1652" s="20"/>
    </row>
    <row r="1653" spans="3:3">
      <c r="C1653" s="20"/>
    </row>
    <row r="1654" spans="3:3">
      <c r="C1654" s="20"/>
    </row>
    <row r="1655" spans="3:3">
      <c r="C1655" s="20"/>
    </row>
    <row r="1656" spans="3:3">
      <c r="C1656" s="20"/>
    </row>
    <row r="1657" spans="3:3">
      <c r="C1657" s="20"/>
    </row>
    <row r="1658" spans="3:3">
      <c r="C1658" s="20"/>
    </row>
    <row r="1659" spans="3:3">
      <c r="C1659" s="20"/>
    </row>
    <row r="1660" spans="3:3">
      <c r="C1660" s="20"/>
    </row>
    <row r="1661" spans="3:3">
      <c r="C1661" s="20"/>
    </row>
    <row r="1662" spans="3:3">
      <c r="C1662" s="20"/>
    </row>
    <row r="1663" spans="3:3">
      <c r="C1663" s="20"/>
    </row>
    <row r="1664" spans="3:3">
      <c r="C1664" s="20"/>
    </row>
    <row r="1665" spans="3:3">
      <c r="C1665" s="20"/>
    </row>
    <row r="1666" spans="3:3">
      <c r="C1666" s="20"/>
    </row>
    <row r="1667" spans="3:3">
      <c r="C1667" s="20"/>
    </row>
    <row r="1668" spans="3:3">
      <c r="C1668" s="20"/>
    </row>
    <row r="1669" spans="3:3">
      <c r="C1669" s="20"/>
    </row>
    <row r="1670" spans="3:3">
      <c r="C1670" s="20"/>
    </row>
    <row r="1671" spans="3:3">
      <c r="C1671" s="20"/>
    </row>
    <row r="1672" spans="3:3">
      <c r="C1672" s="20"/>
    </row>
    <row r="1673" spans="3:3">
      <c r="C1673" s="20"/>
    </row>
    <row r="1674" spans="3:3">
      <c r="C1674" s="20"/>
    </row>
    <row r="1675" spans="3:3">
      <c r="C1675" s="20"/>
    </row>
    <row r="1676" spans="3:3">
      <c r="C1676" s="20"/>
    </row>
    <row r="1677" spans="3:3">
      <c r="C1677" s="20"/>
    </row>
    <row r="1678" spans="3:3">
      <c r="C1678" s="20"/>
    </row>
    <row r="1679" spans="3:3">
      <c r="C1679" s="20"/>
    </row>
    <row r="1680" spans="3:3">
      <c r="C1680" s="20"/>
    </row>
    <row r="1681" spans="3:3">
      <c r="C1681" s="20"/>
    </row>
    <row r="1682" spans="3:3">
      <c r="C1682" s="20"/>
    </row>
    <row r="1683" spans="3:3">
      <c r="C1683" s="20"/>
    </row>
    <row r="1684" spans="3:3">
      <c r="C1684" s="20"/>
    </row>
    <row r="1685" spans="3:3">
      <c r="C1685" s="20"/>
    </row>
    <row r="1686" spans="3:3">
      <c r="C1686" s="20"/>
    </row>
    <row r="1687" spans="3:3">
      <c r="C1687" s="20"/>
    </row>
    <row r="1688" spans="3:3">
      <c r="C1688" s="20"/>
    </row>
    <row r="1689" spans="3:3">
      <c r="C1689" s="20"/>
    </row>
    <row r="1690" spans="3:3">
      <c r="C1690" s="20"/>
    </row>
    <row r="1691" spans="3:3">
      <c r="C1691" s="20"/>
    </row>
    <row r="1692" spans="3:3">
      <c r="C1692" s="20"/>
    </row>
    <row r="1693" spans="3:3">
      <c r="C1693" s="20"/>
    </row>
    <row r="1694" spans="3:3">
      <c r="C1694" s="20"/>
    </row>
    <row r="1695" spans="3:3">
      <c r="C1695" s="20"/>
    </row>
    <row r="1696" spans="3:3">
      <c r="C1696" s="20"/>
    </row>
    <row r="1697" spans="3:3">
      <c r="C1697" s="20"/>
    </row>
    <row r="1698" spans="3:3">
      <c r="C1698" s="20"/>
    </row>
    <row r="1699" spans="3:3">
      <c r="C1699" s="20"/>
    </row>
    <row r="1700" spans="3:3">
      <c r="C1700" s="20"/>
    </row>
    <row r="1701" spans="3:3">
      <c r="C1701" s="20"/>
    </row>
    <row r="1702" spans="3:3">
      <c r="C1702" s="20"/>
    </row>
    <row r="1703" spans="3:3">
      <c r="C1703" s="20"/>
    </row>
    <row r="1704" spans="3:3">
      <c r="C1704" s="20"/>
    </row>
    <row r="1705" spans="3:3">
      <c r="C1705" s="20"/>
    </row>
    <row r="1706" spans="3:3">
      <c r="C1706" s="20"/>
    </row>
    <row r="1707" spans="3:3">
      <c r="C1707" s="20"/>
    </row>
    <row r="1708" spans="3:3">
      <c r="C1708" s="20"/>
    </row>
    <row r="1709" spans="3:3">
      <c r="C1709" s="20"/>
    </row>
    <row r="1710" spans="3:3">
      <c r="C1710" s="20"/>
    </row>
    <row r="1711" spans="3:3">
      <c r="C1711" s="20"/>
    </row>
    <row r="1712" spans="3:3">
      <c r="C1712" s="20"/>
    </row>
    <row r="1713" spans="3:3">
      <c r="C1713" s="20"/>
    </row>
    <row r="1714" spans="3:3">
      <c r="C1714" s="20"/>
    </row>
    <row r="1715" spans="3:3">
      <c r="C1715" s="20"/>
    </row>
    <row r="1716" spans="3:3">
      <c r="C1716" s="20"/>
    </row>
    <row r="1717" spans="3:3">
      <c r="C1717" s="20"/>
    </row>
    <row r="1718" spans="3:3">
      <c r="C1718" s="20"/>
    </row>
    <row r="1719" spans="3:3">
      <c r="C1719" s="20"/>
    </row>
    <row r="1720" spans="3:3">
      <c r="C1720" s="20"/>
    </row>
    <row r="1721" spans="3:3">
      <c r="C1721" s="20"/>
    </row>
    <row r="1722" spans="3:3">
      <c r="C1722" s="20"/>
    </row>
    <row r="1723" spans="3:3">
      <c r="C1723" s="20"/>
    </row>
    <row r="1724" spans="3:3">
      <c r="C1724" s="20"/>
    </row>
    <row r="1725" spans="3:3">
      <c r="C1725" s="20"/>
    </row>
    <row r="1726" spans="3:3">
      <c r="C1726" s="20"/>
    </row>
    <row r="1727" spans="3:3">
      <c r="C1727" s="20"/>
    </row>
    <row r="1728" spans="3:3">
      <c r="C1728" s="20"/>
    </row>
    <row r="1729" spans="3:3">
      <c r="C1729" s="20"/>
    </row>
    <row r="1730" spans="3:3">
      <c r="C1730" s="20"/>
    </row>
    <row r="1731" spans="3:3">
      <c r="C1731" s="20"/>
    </row>
    <row r="1732" spans="3:3">
      <c r="C1732" s="20"/>
    </row>
    <row r="1733" spans="3:3">
      <c r="C1733" s="20"/>
    </row>
    <row r="1734" spans="3:3">
      <c r="C1734" s="20"/>
    </row>
    <row r="1735" spans="3:3">
      <c r="C1735" s="20"/>
    </row>
    <row r="1736" spans="3:3">
      <c r="C1736" s="20"/>
    </row>
    <row r="1737" spans="3:3">
      <c r="C1737" s="20"/>
    </row>
    <row r="1738" spans="3:3">
      <c r="C1738" s="20"/>
    </row>
    <row r="1739" spans="3:3">
      <c r="C1739" s="20"/>
    </row>
    <row r="1740" spans="3:3">
      <c r="C1740" s="20"/>
    </row>
    <row r="1741" spans="3:3">
      <c r="C1741" s="20"/>
    </row>
    <row r="1742" spans="3:3">
      <c r="C1742" s="20"/>
    </row>
    <row r="1743" spans="3:3">
      <c r="C1743" s="20"/>
    </row>
    <row r="1744" spans="3:3">
      <c r="C1744" s="20"/>
    </row>
    <row r="1745" spans="3:3">
      <c r="C1745" s="20"/>
    </row>
    <row r="1746" spans="3:3">
      <c r="C1746" s="20"/>
    </row>
    <row r="1747" spans="3:3">
      <c r="C1747" s="20"/>
    </row>
    <row r="1748" spans="3:3">
      <c r="C1748" s="20"/>
    </row>
    <row r="1749" spans="3:3">
      <c r="C1749" s="20"/>
    </row>
    <row r="1750" spans="3:3">
      <c r="C1750" s="20"/>
    </row>
    <row r="1751" spans="3:3">
      <c r="C1751" s="20"/>
    </row>
    <row r="1752" spans="3:3">
      <c r="C1752" s="20"/>
    </row>
    <row r="1753" spans="3:3">
      <c r="C1753" s="20"/>
    </row>
    <row r="1754" spans="3:3">
      <c r="C1754" s="20"/>
    </row>
    <row r="1755" spans="3:3">
      <c r="C1755" s="20"/>
    </row>
    <row r="1756" spans="3:3">
      <c r="C1756" s="20"/>
    </row>
    <row r="1757" spans="3:3">
      <c r="C1757" s="20"/>
    </row>
    <row r="1758" spans="3:3">
      <c r="C1758" s="20"/>
    </row>
    <row r="1759" spans="3:3">
      <c r="C1759" s="20"/>
    </row>
    <row r="1760" spans="3:3">
      <c r="C1760" s="20"/>
    </row>
    <row r="1761" spans="3:3">
      <c r="C1761" s="20"/>
    </row>
    <row r="1762" spans="3:3">
      <c r="C1762" s="20"/>
    </row>
    <row r="1763" spans="3:3">
      <c r="C1763" s="20"/>
    </row>
    <row r="1764" spans="3:3">
      <c r="C1764" s="20"/>
    </row>
    <row r="1765" spans="3:3">
      <c r="C1765" s="20"/>
    </row>
    <row r="1766" spans="3:3">
      <c r="C1766" s="20"/>
    </row>
    <row r="1767" spans="3:3">
      <c r="C1767" s="20"/>
    </row>
    <row r="1768" spans="3:3">
      <c r="C1768" s="20"/>
    </row>
    <row r="1769" spans="3:3">
      <c r="C1769" s="20"/>
    </row>
    <row r="1770" spans="3:3">
      <c r="C1770" s="20"/>
    </row>
    <row r="1771" spans="3:3">
      <c r="C1771" s="20"/>
    </row>
    <row r="1772" spans="3:3">
      <c r="C1772" s="20"/>
    </row>
    <row r="1773" spans="3:3">
      <c r="C1773" s="20"/>
    </row>
    <row r="1774" spans="3:3">
      <c r="C1774" s="20"/>
    </row>
    <row r="1775" spans="3:3">
      <c r="C1775" s="20"/>
    </row>
    <row r="1776" spans="3:3">
      <c r="C1776" s="20"/>
    </row>
    <row r="1777" spans="3:3">
      <c r="C1777" s="20"/>
    </row>
    <row r="1778" spans="3:3">
      <c r="C1778" s="20"/>
    </row>
    <row r="1779" spans="3:3">
      <c r="C1779" s="20"/>
    </row>
    <row r="1780" spans="3:3">
      <c r="C1780" s="20"/>
    </row>
    <row r="1781" spans="3:3">
      <c r="C1781" s="20"/>
    </row>
    <row r="1782" spans="3:3">
      <c r="C1782" s="20"/>
    </row>
    <row r="1783" spans="3:3">
      <c r="C1783" s="20"/>
    </row>
    <row r="1784" spans="3:3">
      <c r="C1784" s="20"/>
    </row>
    <row r="1785" spans="3:3">
      <c r="C1785" s="20"/>
    </row>
    <row r="1786" spans="3:3">
      <c r="C1786" s="20"/>
    </row>
    <row r="1787" spans="3:3">
      <c r="C1787" s="20"/>
    </row>
    <row r="1788" spans="3:3">
      <c r="C1788" s="20"/>
    </row>
    <row r="1789" spans="3:3">
      <c r="C1789" s="20"/>
    </row>
    <row r="1790" spans="3:3">
      <c r="C1790" s="20"/>
    </row>
    <row r="1791" spans="3:3">
      <c r="C1791" s="20"/>
    </row>
    <row r="1792" spans="3:3">
      <c r="C1792" s="20"/>
    </row>
    <row r="1793" spans="3:3">
      <c r="C1793" s="20"/>
    </row>
    <row r="1794" spans="3:3">
      <c r="C1794" s="20"/>
    </row>
    <row r="1795" spans="3:3">
      <c r="C1795" s="20"/>
    </row>
    <row r="1796" spans="3:3">
      <c r="C1796" s="20"/>
    </row>
    <row r="1797" spans="3:3">
      <c r="C1797" s="20"/>
    </row>
    <row r="1798" spans="3:3">
      <c r="C1798" s="20"/>
    </row>
    <row r="1799" spans="3:3">
      <c r="C1799" s="20"/>
    </row>
    <row r="1800" spans="3:3">
      <c r="C1800" s="20"/>
    </row>
    <row r="1801" spans="3:3">
      <c r="C1801" s="20"/>
    </row>
    <row r="1802" spans="3:3">
      <c r="C1802" s="20"/>
    </row>
    <row r="1803" spans="3:3">
      <c r="C1803" s="20"/>
    </row>
    <row r="1804" spans="3:3">
      <c r="C1804" s="20"/>
    </row>
    <row r="1805" spans="3:3">
      <c r="C1805" s="20"/>
    </row>
    <row r="1806" spans="3:3">
      <c r="C1806" s="20"/>
    </row>
    <row r="1807" spans="3:3">
      <c r="C1807" s="20"/>
    </row>
    <row r="1808" spans="3:3">
      <c r="C1808" s="20"/>
    </row>
    <row r="1809" spans="3:3">
      <c r="C1809" s="20"/>
    </row>
    <row r="1810" spans="3:3">
      <c r="C1810" s="20"/>
    </row>
    <row r="1811" spans="3:3">
      <c r="C1811" s="20"/>
    </row>
    <row r="1812" spans="3:3">
      <c r="C1812" s="20"/>
    </row>
    <row r="1813" spans="3:3">
      <c r="C1813" s="20"/>
    </row>
    <row r="1814" spans="3:3">
      <c r="C1814" s="20"/>
    </row>
    <row r="1815" spans="3:3">
      <c r="C1815" s="20"/>
    </row>
    <row r="1816" spans="3:3">
      <c r="C1816" s="20"/>
    </row>
    <row r="1817" spans="3:3">
      <c r="C1817" s="20"/>
    </row>
    <row r="1818" spans="3:3">
      <c r="C1818" s="20"/>
    </row>
    <row r="1819" spans="3:3">
      <c r="C1819" s="20"/>
    </row>
    <row r="1820" spans="3:3">
      <c r="C1820" s="20"/>
    </row>
    <row r="1821" spans="3:3">
      <c r="C1821" s="20"/>
    </row>
    <row r="1822" spans="3:3">
      <c r="C1822" s="20"/>
    </row>
    <row r="1823" spans="3:3">
      <c r="C1823" s="20"/>
    </row>
    <row r="1824" spans="3:3">
      <c r="C1824" s="20"/>
    </row>
    <row r="1825" spans="3:3">
      <c r="C1825" s="20"/>
    </row>
    <row r="1826" spans="3:3">
      <c r="C1826" s="20"/>
    </row>
    <row r="1827" spans="3:3">
      <c r="C1827" s="20"/>
    </row>
    <row r="1828" spans="3:3">
      <c r="C1828" s="20"/>
    </row>
    <row r="1829" spans="3:3">
      <c r="C1829" s="20"/>
    </row>
    <row r="1830" spans="3:3">
      <c r="C1830" s="20"/>
    </row>
    <row r="1831" spans="3:3">
      <c r="C1831" s="20"/>
    </row>
    <row r="1832" spans="3:3">
      <c r="C1832" s="20"/>
    </row>
    <row r="1833" spans="3:3">
      <c r="C1833" s="20"/>
    </row>
    <row r="1834" spans="3:3">
      <c r="C1834" s="20"/>
    </row>
    <row r="1835" spans="3:3">
      <c r="C1835" s="20"/>
    </row>
    <row r="1836" spans="3:3">
      <c r="C1836" s="20"/>
    </row>
    <row r="1837" spans="3:3">
      <c r="C1837" s="20"/>
    </row>
    <row r="1838" spans="3:3">
      <c r="C1838" s="20"/>
    </row>
    <row r="1839" spans="3:3">
      <c r="C1839" s="20"/>
    </row>
    <row r="1840" spans="3:3">
      <c r="C1840" s="20"/>
    </row>
    <row r="1841" spans="3:3">
      <c r="C1841" s="20"/>
    </row>
    <row r="1842" spans="3:3">
      <c r="C1842" s="20"/>
    </row>
    <row r="1843" spans="3:3">
      <c r="C1843" s="20"/>
    </row>
    <row r="1844" spans="3:3">
      <c r="C1844" s="20"/>
    </row>
    <row r="1845" spans="3:3">
      <c r="C1845" s="20"/>
    </row>
    <row r="1846" spans="3:3">
      <c r="C1846" s="20"/>
    </row>
    <row r="1847" spans="3:3">
      <c r="C1847" s="20"/>
    </row>
    <row r="1848" spans="3:3">
      <c r="C1848" s="20"/>
    </row>
    <row r="1849" spans="3:3">
      <c r="C1849" s="20"/>
    </row>
    <row r="1850" spans="3:3">
      <c r="C1850" s="20"/>
    </row>
    <row r="1851" spans="3:3">
      <c r="C1851" s="20"/>
    </row>
    <row r="1852" spans="3:3">
      <c r="C1852" s="20"/>
    </row>
    <row r="1853" spans="3:3">
      <c r="C1853" s="20"/>
    </row>
    <row r="1854" spans="3:3">
      <c r="C1854" s="20"/>
    </row>
    <row r="1855" spans="3:3">
      <c r="C1855" s="20"/>
    </row>
    <row r="1856" spans="3:3">
      <c r="C1856" s="20"/>
    </row>
    <row r="1857" spans="3:3">
      <c r="C1857" s="20"/>
    </row>
    <row r="1858" spans="3:3">
      <c r="C1858" s="20"/>
    </row>
    <row r="1859" spans="3:3">
      <c r="C1859" s="20"/>
    </row>
    <row r="1860" spans="3:3">
      <c r="C1860" s="20"/>
    </row>
    <row r="1861" spans="3:3">
      <c r="C1861" s="20"/>
    </row>
    <row r="1862" spans="3:3">
      <c r="C1862" s="20"/>
    </row>
    <row r="1863" spans="3:3">
      <c r="C1863" s="20"/>
    </row>
    <row r="1864" spans="3:3">
      <c r="C1864" s="20"/>
    </row>
    <row r="1865" spans="3:3">
      <c r="C1865" s="20"/>
    </row>
    <row r="1866" spans="3:3">
      <c r="C1866" s="20"/>
    </row>
    <row r="1867" spans="3:3">
      <c r="C1867" s="20"/>
    </row>
    <row r="1868" spans="3:3">
      <c r="C1868" s="20"/>
    </row>
    <row r="1869" spans="3:3">
      <c r="C1869" s="20"/>
    </row>
    <row r="1870" spans="3:3">
      <c r="C1870" s="20"/>
    </row>
    <row r="1871" spans="3:3">
      <c r="C1871" s="20"/>
    </row>
    <row r="1872" spans="3:3">
      <c r="C1872" s="20"/>
    </row>
    <row r="1873" spans="3:3">
      <c r="C1873" s="20"/>
    </row>
    <row r="1874" spans="3:3">
      <c r="C1874" s="20"/>
    </row>
    <row r="1875" spans="3:3">
      <c r="C1875" s="20"/>
    </row>
    <row r="1876" spans="3:3">
      <c r="C1876" s="20"/>
    </row>
    <row r="1877" spans="3:3">
      <c r="C1877" s="20"/>
    </row>
    <row r="1878" spans="3:3">
      <c r="C1878" s="20"/>
    </row>
    <row r="1879" spans="3:3">
      <c r="C1879" s="20"/>
    </row>
    <row r="1880" spans="3:3">
      <c r="C1880" s="20"/>
    </row>
    <row r="1881" spans="3:3">
      <c r="C1881" s="20"/>
    </row>
    <row r="1882" spans="3:3">
      <c r="C1882" s="20"/>
    </row>
    <row r="1883" spans="3:3">
      <c r="C1883" s="20"/>
    </row>
    <row r="1884" spans="3:3">
      <c r="C1884" s="20"/>
    </row>
    <row r="1885" spans="3:3">
      <c r="C1885" s="20"/>
    </row>
    <row r="1886" spans="3:3">
      <c r="C1886" s="20"/>
    </row>
    <row r="1887" spans="3:3">
      <c r="C1887" s="20"/>
    </row>
    <row r="1888" spans="3:3">
      <c r="C1888" s="20"/>
    </row>
    <row r="1889" spans="3:3">
      <c r="C1889" s="20"/>
    </row>
    <row r="1890" spans="3:3">
      <c r="C1890" s="20"/>
    </row>
    <row r="1891" spans="3:3">
      <c r="C1891" s="20"/>
    </row>
    <row r="1892" spans="3:3">
      <c r="C1892" s="20"/>
    </row>
    <row r="1893" spans="3:3">
      <c r="C1893" s="20"/>
    </row>
    <row r="1894" spans="3:3">
      <c r="C1894" s="20"/>
    </row>
    <row r="1895" spans="3:3">
      <c r="C1895" s="20"/>
    </row>
    <row r="1896" spans="3:3">
      <c r="C1896" s="20"/>
    </row>
    <row r="1897" spans="3:3">
      <c r="C1897" s="20"/>
    </row>
    <row r="1898" spans="3:3">
      <c r="C1898" s="20"/>
    </row>
    <row r="1899" spans="3:3">
      <c r="C1899" s="20"/>
    </row>
    <row r="1900" spans="3:3">
      <c r="C1900" s="20"/>
    </row>
    <row r="1901" spans="3:3">
      <c r="C1901" s="20"/>
    </row>
    <row r="1902" spans="3:3">
      <c r="C1902" s="20"/>
    </row>
    <row r="1903" spans="3:3">
      <c r="C1903" s="20"/>
    </row>
    <row r="1904" spans="3:3">
      <c r="C1904" s="20"/>
    </row>
    <row r="1905" spans="3:3">
      <c r="C1905" s="20"/>
    </row>
    <row r="1906" spans="3:3">
      <c r="C1906" s="20"/>
    </row>
    <row r="1907" spans="3:3">
      <c r="C1907" s="20"/>
    </row>
    <row r="1908" spans="3:3">
      <c r="C1908" s="20"/>
    </row>
    <row r="1909" spans="3:3">
      <c r="C1909" s="20"/>
    </row>
    <row r="1910" spans="3:3">
      <c r="C1910" s="20"/>
    </row>
    <row r="1911" spans="3:3">
      <c r="C1911" s="20"/>
    </row>
    <row r="1912" spans="3:3">
      <c r="C1912" s="20"/>
    </row>
    <row r="1913" spans="3:3">
      <c r="C1913" s="20"/>
    </row>
    <row r="1914" spans="3:3">
      <c r="C1914" s="20"/>
    </row>
    <row r="1915" spans="3:3">
      <c r="C1915" s="20"/>
    </row>
    <row r="1916" spans="3:3">
      <c r="C1916" s="20"/>
    </row>
    <row r="1917" spans="3:3">
      <c r="C1917" s="20"/>
    </row>
    <row r="1918" spans="3:3">
      <c r="C1918" s="20"/>
    </row>
    <row r="1919" spans="3:3">
      <c r="C1919" s="20"/>
    </row>
    <row r="1920" spans="3:3">
      <c r="C1920" s="20"/>
    </row>
    <row r="1921" spans="3:3">
      <c r="C1921" s="20"/>
    </row>
    <row r="1922" spans="3:3">
      <c r="C1922" s="20"/>
    </row>
    <row r="1923" spans="3:3">
      <c r="C1923" s="20"/>
    </row>
    <row r="1924" spans="3:3">
      <c r="C1924" s="20"/>
    </row>
    <row r="1925" spans="3:3">
      <c r="C1925" s="20"/>
    </row>
    <row r="1926" spans="3:3">
      <c r="C1926" s="20"/>
    </row>
    <row r="1927" spans="3:3">
      <c r="C1927" s="20"/>
    </row>
    <row r="1928" spans="3:3">
      <c r="C1928" s="20"/>
    </row>
    <row r="1929" spans="3:3">
      <c r="C1929" s="20"/>
    </row>
    <row r="1930" spans="3:3">
      <c r="C1930" s="20"/>
    </row>
    <row r="1931" spans="3:3">
      <c r="C1931" s="20"/>
    </row>
    <row r="1932" spans="3:3">
      <c r="C1932" s="20"/>
    </row>
    <row r="1933" spans="3:3">
      <c r="C1933" s="20"/>
    </row>
    <row r="1934" spans="3:3">
      <c r="C1934" s="20"/>
    </row>
    <row r="1935" spans="3:3">
      <c r="C1935" s="20"/>
    </row>
    <row r="1936" spans="3:3">
      <c r="C1936" s="20"/>
    </row>
    <row r="1937" spans="3:3">
      <c r="C1937" s="20"/>
    </row>
    <row r="1938" spans="3:3">
      <c r="C1938" s="20"/>
    </row>
    <row r="1939" spans="3:3">
      <c r="C1939" s="20"/>
    </row>
    <row r="1940" spans="3:3">
      <c r="C1940" s="20"/>
    </row>
    <row r="1941" spans="3:3">
      <c r="C1941" s="20"/>
    </row>
    <row r="1942" spans="3:3">
      <c r="C1942" s="20"/>
    </row>
    <row r="1943" spans="3:3">
      <c r="C1943" s="20"/>
    </row>
    <row r="1944" spans="3:3">
      <c r="C1944" s="20"/>
    </row>
    <row r="1945" spans="3:3">
      <c r="C1945" s="20"/>
    </row>
    <row r="1946" spans="3:3">
      <c r="C1946" s="20"/>
    </row>
    <row r="1947" spans="3:3">
      <c r="C1947" s="20"/>
    </row>
    <row r="1948" spans="3:3">
      <c r="C1948" s="20"/>
    </row>
    <row r="1949" spans="3:3">
      <c r="C1949" s="20"/>
    </row>
    <row r="1950" spans="3:3">
      <c r="C1950" s="20"/>
    </row>
    <row r="1951" spans="3:3">
      <c r="C1951" s="20"/>
    </row>
    <row r="1952" spans="3:3">
      <c r="C1952" s="20"/>
    </row>
    <row r="1953" spans="3:3">
      <c r="C1953" s="20"/>
    </row>
    <row r="1954" spans="3:3">
      <c r="C1954" s="20"/>
    </row>
    <row r="1955" spans="3:3">
      <c r="C1955" s="20"/>
    </row>
    <row r="1956" spans="3:3">
      <c r="C1956" s="20"/>
    </row>
    <row r="1957" spans="3:3">
      <c r="C1957" s="20"/>
    </row>
    <row r="1958" spans="3:3">
      <c r="C1958" s="20"/>
    </row>
    <row r="1959" spans="3:3">
      <c r="C1959" s="20"/>
    </row>
    <row r="1960" spans="3:3">
      <c r="C1960" s="20"/>
    </row>
    <row r="1961" spans="3:3">
      <c r="C1961" s="20"/>
    </row>
    <row r="1962" spans="3:3">
      <c r="C1962" s="20"/>
    </row>
    <row r="1963" spans="3:3">
      <c r="C1963" s="20"/>
    </row>
    <row r="1964" spans="3:3">
      <c r="C1964" s="20"/>
    </row>
    <row r="1965" spans="3:3">
      <c r="C1965" s="20"/>
    </row>
    <row r="1966" spans="3:3">
      <c r="C1966" s="20"/>
    </row>
    <row r="1967" spans="3:3">
      <c r="C1967" s="20"/>
    </row>
    <row r="1968" spans="3:3">
      <c r="C1968" s="20"/>
    </row>
    <row r="1969" spans="3:3">
      <c r="C1969" s="20"/>
    </row>
    <row r="1970" spans="3:3">
      <c r="C1970" s="20"/>
    </row>
    <row r="1971" spans="3:3">
      <c r="C1971" s="20"/>
    </row>
    <row r="1972" spans="3:3">
      <c r="C1972" s="20"/>
    </row>
    <row r="1973" spans="3:3">
      <c r="C1973" s="20"/>
    </row>
    <row r="1974" spans="3:3">
      <c r="C1974" s="20"/>
    </row>
    <row r="1975" spans="3:3">
      <c r="C1975" s="20"/>
    </row>
    <row r="1976" spans="3:3">
      <c r="C1976" s="20"/>
    </row>
    <row r="1977" spans="3:3">
      <c r="C1977" s="20"/>
    </row>
    <row r="1978" spans="3:3">
      <c r="C1978" s="20"/>
    </row>
    <row r="1979" spans="3:3">
      <c r="C1979" s="20"/>
    </row>
    <row r="1980" spans="3:3">
      <c r="C1980" s="20"/>
    </row>
    <row r="1981" spans="3:3">
      <c r="C1981" s="20"/>
    </row>
    <row r="1982" spans="3:3">
      <c r="C1982" s="20"/>
    </row>
    <row r="1983" spans="3:3">
      <c r="C1983" s="20"/>
    </row>
    <row r="1984" spans="3:3">
      <c r="C1984" s="20"/>
    </row>
    <row r="1985" spans="3:3">
      <c r="C1985" s="20"/>
    </row>
    <row r="1986" spans="3:3">
      <c r="C1986" s="20"/>
    </row>
    <row r="1987" spans="3:3">
      <c r="C1987" s="20"/>
    </row>
    <row r="1988" spans="3:3">
      <c r="C1988" s="20"/>
    </row>
    <row r="1989" spans="3:3">
      <c r="C1989" s="20"/>
    </row>
    <row r="1990" spans="3:3">
      <c r="C1990" s="20"/>
    </row>
    <row r="1991" spans="3:3">
      <c r="C1991" s="20"/>
    </row>
    <row r="1992" spans="3:3">
      <c r="C1992" s="20"/>
    </row>
    <row r="1993" spans="3:3">
      <c r="C1993" s="20"/>
    </row>
    <row r="1994" spans="3:3">
      <c r="C1994" s="20"/>
    </row>
    <row r="1995" spans="3:3">
      <c r="C1995" s="20"/>
    </row>
    <row r="1996" spans="3:3">
      <c r="C1996" s="20"/>
    </row>
    <row r="1997" spans="3:3">
      <c r="C1997" s="20"/>
    </row>
    <row r="1998" spans="3:3">
      <c r="C1998" s="20"/>
    </row>
    <row r="1999" spans="3:3">
      <c r="C1999" s="20"/>
    </row>
    <row r="2000" spans="3:3">
      <c r="C2000" s="20"/>
    </row>
    <row r="2001" spans="3:3">
      <c r="C2001" s="20"/>
    </row>
    <row r="2002" spans="3:3">
      <c r="C2002" s="20"/>
    </row>
    <row r="2003" spans="3:3">
      <c r="C2003" s="20"/>
    </row>
    <row r="2004" spans="3:3">
      <c r="C2004" s="20"/>
    </row>
    <row r="2005" spans="3:3">
      <c r="C2005" s="20"/>
    </row>
    <row r="2006" spans="3:3">
      <c r="C2006" s="20"/>
    </row>
    <row r="2007" spans="3:3">
      <c r="C2007" s="20"/>
    </row>
    <row r="2008" spans="3:3">
      <c r="C2008" s="20"/>
    </row>
    <row r="2009" spans="3:3">
      <c r="C2009" s="20"/>
    </row>
    <row r="2010" spans="3:3">
      <c r="C2010" s="20"/>
    </row>
    <row r="2011" spans="3:3">
      <c r="C2011" s="20"/>
    </row>
    <row r="2012" spans="3:3">
      <c r="C2012" s="20"/>
    </row>
    <row r="2013" spans="3:3">
      <c r="C2013" s="20"/>
    </row>
    <row r="2014" spans="3:3">
      <c r="C2014" s="20"/>
    </row>
    <row r="2015" spans="3:3">
      <c r="C2015" s="20"/>
    </row>
    <row r="2016" spans="3:3">
      <c r="C2016" s="20"/>
    </row>
    <row r="2017" spans="3:3">
      <c r="C2017" s="20"/>
    </row>
    <row r="2018" spans="3:3">
      <c r="C2018" s="20"/>
    </row>
    <row r="2019" spans="3:3">
      <c r="C2019" s="20"/>
    </row>
    <row r="2020" spans="3:3">
      <c r="C2020" s="20"/>
    </row>
    <row r="2021" spans="3:3">
      <c r="C2021" s="20"/>
    </row>
    <row r="2022" spans="3:3">
      <c r="C2022" s="20"/>
    </row>
    <row r="2023" spans="3:3">
      <c r="C2023" s="20"/>
    </row>
    <row r="2024" spans="3:3">
      <c r="C2024" s="20"/>
    </row>
    <row r="2025" spans="3:3">
      <c r="C2025" s="20"/>
    </row>
    <row r="2026" spans="3:3">
      <c r="C2026" s="20"/>
    </row>
    <row r="2027" spans="3:3">
      <c r="C2027" s="20"/>
    </row>
    <row r="2028" spans="3:3">
      <c r="C2028" s="20"/>
    </row>
    <row r="2029" spans="3:3">
      <c r="C2029" s="20"/>
    </row>
    <row r="2030" spans="3:3">
      <c r="C2030" s="20"/>
    </row>
    <row r="2031" spans="3:3">
      <c r="C2031" s="20"/>
    </row>
    <row r="2032" spans="3:3">
      <c r="C2032" s="20"/>
    </row>
    <row r="2033" spans="3:3">
      <c r="C2033" s="20"/>
    </row>
    <row r="2034" spans="3:3">
      <c r="C2034" s="20"/>
    </row>
    <row r="2035" spans="3:3">
      <c r="C2035" s="20"/>
    </row>
    <row r="2036" spans="3:3">
      <c r="C2036" s="20"/>
    </row>
    <row r="2037" spans="3:3">
      <c r="C2037" s="20"/>
    </row>
    <row r="2038" spans="3:3">
      <c r="C2038" s="20"/>
    </row>
    <row r="2039" spans="3:3">
      <c r="C2039" s="20"/>
    </row>
    <row r="2040" spans="3:3">
      <c r="C2040" s="20"/>
    </row>
    <row r="2041" spans="3:3">
      <c r="C2041" s="20"/>
    </row>
    <row r="2042" spans="3:3">
      <c r="C2042" s="20"/>
    </row>
    <row r="2043" spans="3:3">
      <c r="C2043" s="20"/>
    </row>
    <row r="2044" spans="3:3">
      <c r="C2044" s="20"/>
    </row>
    <row r="2045" spans="3:3">
      <c r="C2045" s="20"/>
    </row>
    <row r="2046" spans="3:3">
      <c r="C2046" s="20"/>
    </row>
    <row r="2047" spans="3:3">
      <c r="C2047" s="20"/>
    </row>
    <row r="2048" spans="3:3">
      <c r="C2048" s="20"/>
    </row>
    <row r="2049" spans="3:3">
      <c r="C2049" s="20"/>
    </row>
    <row r="2050" spans="3:3">
      <c r="C2050" s="20"/>
    </row>
    <row r="2051" spans="3:3">
      <c r="C2051" s="20"/>
    </row>
    <row r="2052" spans="3:3">
      <c r="C2052" s="20"/>
    </row>
    <row r="2053" spans="3:3">
      <c r="C2053" s="20"/>
    </row>
    <row r="2054" spans="3:3">
      <c r="C2054" s="20"/>
    </row>
    <row r="2055" spans="3:3">
      <c r="C2055" s="20"/>
    </row>
    <row r="2056" spans="3:3">
      <c r="C2056" s="20"/>
    </row>
    <row r="2057" spans="3:3">
      <c r="C2057" s="20"/>
    </row>
    <row r="2058" spans="3:3">
      <c r="C2058" s="20"/>
    </row>
    <row r="2059" spans="3:3">
      <c r="C2059" s="20"/>
    </row>
    <row r="2060" spans="3:3">
      <c r="C2060" s="20"/>
    </row>
    <row r="2061" spans="3:3">
      <c r="C2061" s="20"/>
    </row>
    <row r="2062" spans="3:3">
      <c r="C2062" s="20"/>
    </row>
    <row r="2063" spans="3:3">
      <c r="C2063" s="20"/>
    </row>
    <row r="2064" spans="3:3">
      <c r="C2064" s="20"/>
    </row>
    <row r="2065" spans="3:3">
      <c r="C2065" s="20"/>
    </row>
    <row r="2066" spans="3:3">
      <c r="C2066" s="20"/>
    </row>
    <row r="2067" spans="3:3">
      <c r="C2067" s="20"/>
    </row>
    <row r="2068" spans="3:3">
      <c r="C2068" s="20"/>
    </row>
    <row r="2069" spans="3:3">
      <c r="C2069" s="20"/>
    </row>
    <row r="2070" spans="3:3">
      <c r="C2070" s="20"/>
    </row>
    <row r="2071" spans="3:3">
      <c r="C2071" s="20"/>
    </row>
    <row r="2072" spans="3:3">
      <c r="C2072" s="20"/>
    </row>
    <row r="2073" spans="3:3">
      <c r="C2073" s="20"/>
    </row>
    <row r="2074" spans="3:3">
      <c r="C2074" s="20"/>
    </row>
    <row r="2075" spans="3:3">
      <c r="C2075" s="20"/>
    </row>
    <row r="2076" spans="3:3">
      <c r="C2076" s="20"/>
    </row>
    <row r="2077" spans="3:3">
      <c r="C2077" s="20"/>
    </row>
    <row r="2078" spans="3:3">
      <c r="C2078" s="20"/>
    </row>
    <row r="2079" spans="3:3">
      <c r="C2079" s="20"/>
    </row>
    <row r="2080" spans="3:3">
      <c r="C2080" s="20"/>
    </row>
    <row r="2081" spans="3:3">
      <c r="C2081" s="20"/>
    </row>
    <row r="2082" spans="3:3">
      <c r="C2082" s="20"/>
    </row>
    <row r="2083" spans="3:3">
      <c r="C2083" s="20"/>
    </row>
    <row r="2084" spans="3:3">
      <c r="C2084" s="20"/>
    </row>
    <row r="2085" spans="3:3">
      <c r="C2085" s="20"/>
    </row>
    <row r="2086" spans="3:3">
      <c r="C2086" s="20"/>
    </row>
    <row r="2087" spans="3:3">
      <c r="C2087" s="20"/>
    </row>
    <row r="2088" spans="3:3">
      <c r="C2088" s="20"/>
    </row>
    <row r="2089" spans="3:3">
      <c r="C2089" s="20"/>
    </row>
    <row r="2090" spans="3:3">
      <c r="C2090" s="20"/>
    </row>
    <row r="2091" spans="3:3">
      <c r="C2091" s="20"/>
    </row>
    <row r="2092" spans="3:3">
      <c r="C2092" s="20"/>
    </row>
    <row r="2093" spans="3:3">
      <c r="C2093" s="20"/>
    </row>
    <row r="2094" spans="3:3">
      <c r="C2094" s="20"/>
    </row>
    <row r="2095" spans="3:3">
      <c r="C2095" s="20"/>
    </row>
    <row r="2096" spans="3:3">
      <c r="C2096" s="20"/>
    </row>
    <row r="2097" spans="3:3">
      <c r="C2097" s="20"/>
    </row>
    <row r="2098" spans="3:3">
      <c r="C2098" s="20"/>
    </row>
    <row r="2099" spans="3:3">
      <c r="C2099" s="20"/>
    </row>
    <row r="2100" spans="3:3">
      <c r="C2100" s="20"/>
    </row>
    <row r="2101" spans="3:3">
      <c r="C2101" s="20"/>
    </row>
    <row r="2102" spans="3:3">
      <c r="C2102" s="20"/>
    </row>
    <row r="2103" spans="3:3">
      <c r="C2103" s="20"/>
    </row>
    <row r="2104" spans="3:3">
      <c r="C2104" s="20"/>
    </row>
    <row r="2105" spans="3:3">
      <c r="C2105" s="20"/>
    </row>
    <row r="2106" spans="3:3">
      <c r="C2106" s="20"/>
    </row>
    <row r="2107" spans="3:3">
      <c r="C2107" s="20"/>
    </row>
    <row r="2108" spans="3:3">
      <c r="C2108" s="20"/>
    </row>
    <row r="2109" spans="3:3">
      <c r="C2109" s="20"/>
    </row>
    <row r="2110" spans="3:3">
      <c r="C2110" s="20"/>
    </row>
    <row r="2111" spans="3:3">
      <c r="C2111" s="20"/>
    </row>
    <row r="2112" spans="3:3">
      <c r="C2112" s="20"/>
    </row>
    <row r="2113" spans="3:3">
      <c r="C2113" s="20"/>
    </row>
    <row r="2114" spans="3:3">
      <c r="C2114" s="20"/>
    </row>
    <row r="2115" spans="3:3">
      <c r="C2115" s="20"/>
    </row>
    <row r="2116" spans="3:3">
      <c r="C2116" s="20"/>
    </row>
    <row r="2117" spans="3:3">
      <c r="C2117" s="20"/>
    </row>
    <row r="2118" spans="3:3">
      <c r="C2118" s="20"/>
    </row>
    <row r="2119" spans="3:3">
      <c r="C2119" s="20"/>
    </row>
    <row r="2120" spans="3:3">
      <c r="C2120" s="20"/>
    </row>
    <row r="2121" spans="3:3">
      <c r="C2121" s="20"/>
    </row>
    <row r="2122" spans="3:3">
      <c r="C2122" s="20"/>
    </row>
    <row r="2123" spans="3:3">
      <c r="C2123" s="20"/>
    </row>
    <row r="2124" spans="3:3">
      <c r="C2124" s="20"/>
    </row>
    <row r="2125" spans="3:3">
      <c r="C2125" s="20"/>
    </row>
    <row r="2126" spans="3:3">
      <c r="C2126" s="20"/>
    </row>
    <row r="2127" spans="3:3">
      <c r="C2127" s="20"/>
    </row>
    <row r="2128" spans="3:3">
      <c r="C2128" s="20"/>
    </row>
    <row r="2129" spans="3:3">
      <c r="C2129" s="20"/>
    </row>
    <row r="2130" spans="3:3">
      <c r="C2130" s="20"/>
    </row>
    <row r="2131" spans="3:3">
      <c r="C2131" s="20"/>
    </row>
    <row r="2132" spans="3:3">
      <c r="C2132" s="20"/>
    </row>
    <row r="2133" spans="3:3">
      <c r="C2133" s="20"/>
    </row>
    <row r="2134" spans="3:3">
      <c r="C2134" s="20"/>
    </row>
    <row r="2135" spans="3:3">
      <c r="C2135" s="20"/>
    </row>
    <row r="2136" spans="3:3">
      <c r="C2136" s="20"/>
    </row>
    <row r="2137" spans="3:3">
      <c r="C2137" s="20"/>
    </row>
    <row r="2138" spans="3:3">
      <c r="C2138" s="20"/>
    </row>
    <row r="2139" spans="3:3">
      <c r="C2139" s="20"/>
    </row>
    <row r="2140" spans="3:3">
      <c r="C2140" s="20"/>
    </row>
    <row r="2141" spans="3:3">
      <c r="C2141" s="20"/>
    </row>
    <row r="2142" spans="3:3">
      <c r="C2142" s="20"/>
    </row>
    <row r="2143" spans="3:3">
      <c r="C2143" s="20"/>
    </row>
    <row r="2144" spans="3:3">
      <c r="C2144" s="20"/>
    </row>
    <row r="2145" spans="3:3">
      <c r="C2145" s="20"/>
    </row>
    <row r="2146" spans="3:3">
      <c r="C2146" s="20"/>
    </row>
    <row r="2147" spans="3:3">
      <c r="C2147" s="20"/>
    </row>
    <row r="2148" spans="3:3">
      <c r="C2148" s="20"/>
    </row>
    <row r="2149" spans="3:3">
      <c r="C2149" s="20"/>
    </row>
    <row r="2150" spans="3:3">
      <c r="C2150" s="20"/>
    </row>
    <row r="2151" spans="3:3">
      <c r="C2151" s="20"/>
    </row>
    <row r="2152" spans="3:3">
      <c r="C2152" s="20"/>
    </row>
    <row r="2153" spans="3:3">
      <c r="C2153" s="20"/>
    </row>
    <row r="2154" spans="3:3">
      <c r="C2154" s="20"/>
    </row>
    <row r="2155" spans="3:3">
      <c r="C2155" s="20"/>
    </row>
    <row r="2156" spans="3:3">
      <c r="C2156" s="20"/>
    </row>
    <row r="2157" spans="3:3">
      <c r="C2157" s="20"/>
    </row>
    <row r="2158" spans="3:3">
      <c r="C2158" s="20"/>
    </row>
    <row r="2159" spans="3:3">
      <c r="C2159" s="20"/>
    </row>
    <row r="2160" spans="3:3">
      <c r="C2160" s="20"/>
    </row>
    <row r="2161" spans="3:3">
      <c r="C2161" s="20"/>
    </row>
    <row r="2162" spans="3:3">
      <c r="C2162" s="20"/>
    </row>
    <row r="2163" spans="3:3">
      <c r="C2163" s="20"/>
    </row>
    <row r="2164" spans="3:3">
      <c r="C2164" s="20"/>
    </row>
    <row r="2165" spans="3:3">
      <c r="C2165" s="20"/>
    </row>
    <row r="2166" spans="3:3">
      <c r="C2166" s="20"/>
    </row>
    <row r="2167" spans="3:3">
      <c r="C2167" s="20"/>
    </row>
    <row r="2168" spans="3:3">
      <c r="C2168" s="20"/>
    </row>
    <row r="2169" spans="3:3">
      <c r="C2169" s="20"/>
    </row>
    <row r="2170" spans="3:3">
      <c r="C2170" s="20"/>
    </row>
    <row r="2171" spans="3:3">
      <c r="C2171" s="20"/>
    </row>
    <row r="2172" spans="3:3">
      <c r="C2172" s="20"/>
    </row>
    <row r="2173" spans="3:3">
      <c r="C2173" s="20"/>
    </row>
    <row r="2174" spans="3:3">
      <c r="C2174" s="20"/>
    </row>
    <row r="2175" spans="3:3">
      <c r="C2175" s="20"/>
    </row>
    <row r="2176" spans="3:3">
      <c r="C2176" s="20"/>
    </row>
    <row r="2177" spans="3:3">
      <c r="C2177" s="20"/>
    </row>
    <row r="2178" spans="3:3">
      <c r="C2178" s="20"/>
    </row>
    <row r="2179" spans="3:3">
      <c r="C2179" s="20"/>
    </row>
    <row r="2180" spans="3:3">
      <c r="C2180" s="20"/>
    </row>
    <row r="2181" spans="3:3">
      <c r="C2181" s="20"/>
    </row>
    <row r="2182" spans="3:3">
      <c r="C2182" s="20"/>
    </row>
    <row r="2183" spans="3:3">
      <c r="C2183" s="20"/>
    </row>
    <row r="2184" spans="3:3">
      <c r="C2184" s="20"/>
    </row>
    <row r="2185" spans="3:3">
      <c r="C2185" s="20"/>
    </row>
    <row r="2186" spans="3:3">
      <c r="C2186" s="20"/>
    </row>
    <row r="2187" spans="3:3">
      <c r="C2187" s="20"/>
    </row>
    <row r="2188" spans="3:3">
      <c r="C2188" s="20"/>
    </row>
    <row r="2189" spans="3:3">
      <c r="C2189" s="20"/>
    </row>
    <row r="2190" spans="3:3">
      <c r="C2190" s="20"/>
    </row>
    <row r="2191" spans="3:3">
      <c r="C2191" s="20"/>
    </row>
    <row r="2192" spans="3:3">
      <c r="C2192" s="20"/>
    </row>
    <row r="2193" spans="3:3">
      <c r="C2193" s="20"/>
    </row>
    <row r="2194" spans="3:3">
      <c r="C2194" s="20"/>
    </row>
    <row r="2195" spans="3:3">
      <c r="C2195" s="20"/>
    </row>
    <row r="2196" spans="3:3">
      <c r="C2196" s="20"/>
    </row>
    <row r="2197" spans="3:3">
      <c r="C2197" s="20"/>
    </row>
    <row r="2198" spans="3:3">
      <c r="C2198" s="20"/>
    </row>
    <row r="2199" spans="3:3">
      <c r="C2199" s="20"/>
    </row>
    <row r="2200" spans="3:3">
      <c r="C2200" s="20"/>
    </row>
    <row r="2201" spans="3:3">
      <c r="C2201" s="20"/>
    </row>
    <row r="2202" spans="3:3">
      <c r="C2202" s="20"/>
    </row>
    <row r="2203" spans="3:3">
      <c r="C2203" s="20"/>
    </row>
    <row r="2204" spans="3:3">
      <c r="C2204" s="20"/>
    </row>
    <row r="2205" spans="3:3">
      <c r="C2205" s="20"/>
    </row>
    <row r="2206" spans="3:3">
      <c r="C2206" s="20"/>
    </row>
    <row r="2207" spans="3:3">
      <c r="C2207" s="20"/>
    </row>
    <row r="2208" spans="3:3">
      <c r="C2208" s="20"/>
    </row>
    <row r="2209" spans="3:3">
      <c r="C2209" s="20"/>
    </row>
    <row r="2210" spans="3:3">
      <c r="C2210" s="20"/>
    </row>
    <row r="2211" spans="3:3">
      <c r="C2211" s="20"/>
    </row>
    <row r="2212" spans="3:3">
      <c r="C2212" s="20"/>
    </row>
    <row r="2213" spans="3:3">
      <c r="C2213" s="20"/>
    </row>
    <row r="2214" spans="3:3">
      <c r="C2214" s="20"/>
    </row>
    <row r="2215" spans="3:3">
      <c r="C2215" s="20"/>
    </row>
    <row r="2216" spans="3:3">
      <c r="C2216" s="20"/>
    </row>
    <row r="2217" spans="3:3">
      <c r="C2217" s="20"/>
    </row>
    <row r="2218" spans="3:3">
      <c r="C2218" s="20"/>
    </row>
    <row r="2219" spans="3:3">
      <c r="C2219" s="20"/>
    </row>
    <row r="2220" spans="3:3">
      <c r="C2220" s="20"/>
    </row>
    <row r="2221" spans="3:3">
      <c r="C2221" s="20"/>
    </row>
    <row r="2222" spans="3:3">
      <c r="C2222" s="20"/>
    </row>
    <row r="2223" spans="3:3">
      <c r="C2223" s="20"/>
    </row>
    <row r="2224" spans="3:3">
      <c r="C2224" s="20"/>
    </row>
    <row r="2225" spans="3:3">
      <c r="C2225" s="20"/>
    </row>
    <row r="2226" spans="3:3">
      <c r="C2226" s="20"/>
    </row>
    <row r="2227" spans="3:3">
      <c r="C2227" s="20"/>
    </row>
    <row r="2228" spans="3:3">
      <c r="C2228" s="20"/>
    </row>
    <row r="2229" spans="3:3">
      <c r="C2229" s="20"/>
    </row>
    <row r="2230" spans="3:3">
      <c r="C2230" s="20"/>
    </row>
    <row r="2231" spans="3:3">
      <c r="C2231" s="20"/>
    </row>
    <row r="2232" spans="3:3">
      <c r="C2232" s="20"/>
    </row>
    <row r="2233" spans="3:3">
      <c r="C2233" s="20"/>
    </row>
    <row r="2234" spans="3:3">
      <c r="C2234" s="20"/>
    </row>
    <row r="2235" spans="3:3">
      <c r="C2235" s="20"/>
    </row>
    <row r="2236" spans="3:3">
      <c r="C2236" s="20"/>
    </row>
    <row r="2237" spans="3:3">
      <c r="C2237" s="20"/>
    </row>
    <row r="2238" spans="3:3">
      <c r="C2238" s="20"/>
    </row>
    <row r="2239" spans="3:3">
      <c r="C2239" s="20"/>
    </row>
    <row r="2240" spans="3:3">
      <c r="C2240" s="20"/>
    </row>
    <row r="2241" spans="3:3">
      <c r="C2241" s="20"/>
    </row>
    <row r="2242" spans="3:3">
      <c r="C2242" s="20"/>
    </row>
    <row r="2243" spans="3:3">
      <c r="C2243" s="20"/>
    </row>
    <row r="2244" spans="3:3">
      <c r="C2244" s="20"/>
    </row>
    <row r="2245" spans="3:3">
      <c r="C2245" s="20"/>
    </row>
    <row r="2246" spans="3:3">
      <c r="C2246" s="20"/>
    </row>
    <row r="2247" spans="3:3">
      <c r="C2247" s="20"/>
    </row>
    <row r="2248" spans="3:3">
      <c r="C2248" s="20"/>
    </row>
    <row r="2249" spans="3:3">
      <c r="C2249" s="20"/>
    </row>
    <row r="2250" spans="3:3">
      <c r="C2250" s="20"/>
    </row>
    <row r="2251" spans="3:3">
      <c r="C2251" s="20"/>
    </row>
    <row r="2252" spans="3:3">
      <c r="C2252" s="20"/>
    </row>
    <row r="2253" spans="3:3">
      <c r="C2253" s="20"/>
    </row>
    <row r="2254" spans="3:3">
      <c r="C2254" s="20"/>
    </row>
    <row r="2255" spans="3:3">
      <c r="C2255" s="20"/>
    </row>
    <row r="2256" spans="3:3">
      <c r="C2256" s="20"/>
    </row>
    <row r="2257" spans="3:3">
      <c r="C2257" s="20"/>
    </row>
    <row r="2258" spans="3:3">
      <c r="C2258" s="20"/>
    </row>
    <row r="2259" spans="3:3">
      <c r="C2259" s="20"/>
    </row>
    <row r="2260" spans="3:3">
      <c r="C2260" s="20"/>
    </row>
    <row r="2261" spans="3:3">
      <c r="C2261" s="20"/>
    </row>
    <row r="2262" spans="3:3">
      <c r="C2262" s="20"/>
    </row>
    <row r="2263" spans="3:3">
      <c r="C2263" s="20"/>
    </row>
    <row r="2264" spans="3:3">
      <c r="C2264" s="20"/>
    </row>
    <row r="2265" spans="3:3">
      <c r="C2265" s="20"/>
    </row>
    <row r="2266" spans="3:3">
      <c r="C2266" s="20"/>
    </row>
    <row r="2267" spans="3:3">
      <c r="C2267" s="20"/>
    </row>
    <row r="2268" spans="3:3">
      <c r="C2268" s="20"/>
    </row>
    <row r="2269" spans="3:3">
      <c r="C2269" s="20"/>
    </row>
    <row r="2270" spans="3:3">
      <c r="C2270" s="20"/>
    </row>
    <row r="2271" spans="3:3">
      <c r="C2271" s="20"/>
    </row>
    <row r="2272" spans="3:3">
      <c r="C2272" s="20"/>
    </row>
    <row r="2273" spans="3:3">
      <c r="C2273" s="20"/>
    </row>
    <row r="2274" spans="3:3">
      <c r="C2274" s="20"/>
    </row>
    <row r="2275" spans="3:3">
      <c r="C2275" s="20"/>
    </row>
    <row r="2276" spans="3:3">
      <c r="C2276" s="20"/>
    </row>
    <row r="2277" spans="3:3">
      <c r="C2277" s="20"/>
    </row>
    <row r="2278" spans="3:3">
      <c r="C2278" s="20"/>
    </row>
    <row r="2279" spans="3:3">
      <c r="C2279" s="20"/>
    </row>
    <row r="2280" spans="3:3">
      <c r="C2280" s="20"/>
    </row>
    <row r="2281" spans="3:3">
      <c r="C2281" s="20"/>
    </row>
    <row r="2282" spans="3:3">
      <c r="C2282" s="20"/>
    </row>
    <row r="2283" spans="3:3">
      <c r="C2283" s="20"/>
    </row>
    <row r="2284" spans="3:3">
      <c r="C2284" s="20"/>
    </row>
    <row r="2285" spans="3:3">
      <c r="C2285" s="20"/>
    </row>
    <row r="2286" spans="3:3">
      <c r="C2286" s="20"/>
    </row>
    <row r="2287" spans="3:3">
      <c r="C2287" s="20"/>
    </row>
    <row r="2288" spans="3:3">
      <c r="C2288" s="20"/>
    </row>
    <row r="2289" spans="3:3">
      <c r="C2289" s="20"/>
    </row>
    <row r="2290" spans="3:3">
      <c r="C2290" s="20"/>
    </row>
    <row r="2291" spans="3:3">
      <c r="C2291" s="20"/>
    </row>
    <row r="2292" spans="3:3">
      <c r="C2292" s="20"/>
    </row>
    <row r="2293" spans="3:3">
      <c r="C2293" s="20"/>
    </row>
    <row r="2294" spans="3:3">
      <c r="C2294" s="20"/>
    </row>
    <row r="2295" spans="3:3">
      <c r="C2295" s="20"/>
    </row>
    <row r="2296" spans="3:3">
      <c r="C2296" s="20"/>
    </row>
    <row r="2297" spans="3:3">
      <c r="C2297" s="20"/>
    </row>
    <row r="2298" spans="3:3">
      <c r="C2298" s="20"/>
    </row>
    <row r="2299" spans="3:3">
      <c r="C2299" s="20"/>
    </row>
    <row r="2300" spans="3:3">
      <c r="C2300" s="20"/>
    </row>
    <row r="2301" spans="3:3">
      <c r="C2301" s="20"/>
    </row>
    <row r="2302" spans="3:3">
      <c r="C2302" s="20"/>
    </row>
    <row r="2303" spans="3:3">
      <c r="C2303" s="20"/>
    </row>
    <row r="2304" spans="3:3">
      <c r="C2304" s="20"/>
    </row>
    <row r="2305" spans="3:3">
      <c r="C2305" s="20"/>
    </row>
    <row r="2306" spans="3:3">
      <c r="C2306" s="20"/>
    </row>
    <row r="2307" spans="3:3">
      <c r="C2307" s="20"/>
    </row>
    <row r="2308" spans="3:3">
      <c r="C2308" s="20"/>
    </row>
    <row r="2309" spans="3:3">
      <c r="C2309" s="20"/>
    </row>
    <row r="2310" spans="3:3">
      <c r="C2310" s="20"/>
    </row>
    <row r="2311" spans="3:3">
      <c r="C2311" s="20"/>
    </row>
    <row r="2312" spans="3:3">
      <c r="C2312" s="20"/>
    </row>
    <row r="2313" spans="3:3">
      <c r="C2313" s="20"/>
    </row>
    <row r="2314" spans="3:3">
      <c r="C2314" s="20"/>
    </row>
    <row r="2315" spans="3:3">
      <c r="C2315" s="20"/>
    </row>
    <row r="2316" spans="3:3">
      <c r="C2316" s="20"/>
    </row>
    <row r="2317" spans="3:3">
      <c r="C2317" s="20"/>
    </row>
    <row r="2318" spans="3:3">
      <c r="C2318" s="20"/>
    </row>
    <row r="2319" spans="3:3">
      <c r="C2319" s="20"/>
    </row>
    <row r="2320" spans="3:3">
      <c r="C2320" s="20"/>
    </row>
    <row r="2321" spans="3:3">
      <c r="C2321" s="20"/>
    </row>
    <row r="2322" spans="3:3">
      <c r="C2322" s="20"/>
    </row>
    <row r="2323" spans="3:3">
      <c r="C2323" s="20"/>
    </row>
    <row r="2324" spans="3:3">
      <c r="C2324" s="20"/>
    </row>
    <row r="2325" spans="3:3">
      <c r="C2325" s="20"/>
    </row>
    <row r="2326" spans="3:3">
      <c r="C2326" s="20"/>
    </row>
    <row r="2327" spans="3:3">
      <c r="C2327" s="20"/>
    </row>
    <row r="2328" spans="3:3">
      <c r="C2328" s="20"/>
    </row>
    <row r="2329" spans="3:3">
      <c r="C2329" s="20"/>
    </row>
    <row r="2330" spans="3:3">
      <c r="C2330" s="20"/>
    </row>
    <row r="2331" spans="3:3">
      <c r="C2331" s="20"/>
    </row>
    <row r="2332" spans="3:3">
      <c r="C2332" s="20"/>
    </row>
    <row r="2333" spans="3:3">
      <c r="C2333" s="20"/>
    </row>
    <row r="2334" spans="3:3">
      <c r="C2334" s="20"/>
    </row>
    <row r="2335" spans="3:3">
      <c r="C2335" s="20"/>
    </row>
    <row r="2336" spans="3:3">
      <c r="C2336" s="20"/>
    </row>
    <row r="2337" spans="3:3">
      <c r="C2337" s="20"/>
    </row>
    <row r="2338" spans="3:3">
      <c r="C2338" s="20"/>
    </row>
    <row r="2339" spans="3:3">
      <c r="C2339" s="20"/>
    </row>
    <row r="2340" spans="3:3">
      <c r="C2340" s="20"/>
    </row>
    <row r="2341" spans="3:3">
      <c r="C2341" s="20"/>
    </row>
    <row r="2342" spans="3:3">
      <c r="C2342" s="20"/>
    </row>
    <row r="2343" spans="3:3">
      <c r="C2343" s="20"/>
    </row>
    <row r="2344" spans="3:3">
      <c r="C2344" s="20"/>
    </row>
    <row r="2345" spans="3:3">
      <c r="C2345" s="20"/>
    </row>
    <row r="2346" spans="3:3">
      <c r="C2346" s="20"/>
    </row>
    <row r="2347" spans="3:3">
      <c r="C2347" s="20"/>
    </row>
    <row r="2348" spans="3:3">
      <c r="C2348" s="20"/>
    </row>
    <row r="2349" spans="3:3">
      <c r="C2349" s="20"/>
    </row>
    <row r="2350" spans="3:3">
      <c r="C2350" s="20"/>
    </row>
    <row r="2351" spans="3:3">
      <c r="C2351" s="20"/>
    </row>
    <row r="2352" spans="3:3">
      <c r="C2352" s="20"/>
    </row>
    <row r="2353" spans="3:3">
      <c r="C2353" s="20"/>
    </row>
    <row r="2354" spans="3:3">
      <c r="C2354" s="20"/>
    </row>
    <row r="2355" spans="3:3">
      <c r="C2355" s="20"/>
    </row>
    <row r="2356" spans="3:3">
      <c r="C2356" s="20"/>
    </row>
    <row r="2357" spans="3:3">
      <c r="C2357" s="20"/>
    </row>
    <row r="2358" spans="3:3">
      <c r="C2358" s="20"/>
    </row>
    <row r="2359" spans="3:3">
      <c r="C2359" s="20"/>
    </row>
    <row r="2360" spans="3:3">
      <c r="C2360" s="20"/>
    </row>
    <row r="2361" spans="3:3">
      <c r="C2361" s="20"/>
    </row>
    <row r="2362" spans="3:3">
      <c r="C2362" s="20"/>
    </row>
    <row r="2363" spans="3:3">
      <c r="C2363" s="20"/>
    </row>
    <row r="2364" spans="3:3">
      <c r="C2364" s="20"/>
    </row>
    <row r="2365" spans="3:3">
      <c r="C2365" s="20"/>
    </row>
    <row r="2366" spans="3:3">
      <c r="C2366" s="20"/>
    </row>
    <row r="2367" spans="3:3">
      <c r="C2367" s="20"/>
    </row>
    <row r="2368" spans="3:3">
      <c r="C2368" s="20"/>
    </row>
    <row r="2369" spans="3:3">
      <c r="C2369" s="20"/>
    </row>
    <row r="2370" spans="3:3">
      <c r="C2370" s="20"/>
    </row>
    <row r="2371" spans="3:3">
      <c r="C2371" s="20"/>
    </row>
    <row r="2372" spans="3:3">
      <c r="C2372" s="20"/>
    </row>
    <row r="2373" spans="3:3">
      <c r="C2373" s="20"/>
    </row>
    <row r="2374" spans="3:3">
      <c r="C2374" s="20"/>
    </row>
    <row r="2375" spans="3:3">
      <c r="C2375" s="20"/>
    </row>
    <row r="2376" spans="3:3">
      <c r="C2376" s="20"/>
    </row>
    <row r="2377" spans="3:3">
      <c r="C2377" s="20"/>
    </row>
    <row r="2378" spans="3:3">
      <c r="C2378" s="20"/>
    </row>
    <row r="2379" spans="3:3">
      <c r="C2379" s="20"/>
    </row>
    <row r="2380" spans="3:3">
      <c r="C2380" s="20"/>
    </row>
    <row r="2381" spans="3:3">
      <c r="C2381" s="20"/>
    </row>
    <row r="2382" spans="3:3">
      <c r="C2382" s="20"/>
    </row>
    <row r="2383" spans="3:3">
      <c r="C2383" s="20"/>
    </row>
    <row r="2384" spans="3:3">
      <c r="C2384" s="20"/>
    </row>
    <row r="2385" spans="3:3">
      <c r="C2385" s="20"/>
    </row>
    <row r="2386" spans="3:3">
      <c r="C2386" s="20"/>
    </row>
    <row r="2387" spans="3:3">
      <c r="C2387" s="20"/>
    </row>
    <row r="2388" spans="3:3">
      <c r="C2388" s="20"/>
    </row>
    <row r="2389" spans="3:3">
      <c r="C2389" s="20"/>
    </row>
    <row r="2390" spans="3:3">
      <c r="C2390" s="20"/>
    </row>
    <row r="2391" spans="3:3">
      <c r="C2391" s="20"/>
    </row>
    <row r="2392" spans="3:3">
      <c r="C2392" s="20"/>
    </row>
    <row r="2393" spans="3:3">
      <c r="C2393" s="20"/>
    </row>
    <row r="2394" spans="3:3">
      <c r="C2394" s="20"/>
    </row>
    <row r="2395" spans="3:3">
      <c r="C2395" s="20"/>
    </row>
    <row r="2396" spans="3:3">
      <c r="C2396" s="20"/>
    </row>
    <row r="2397" spans="3:3">
      <c r="C2397" s="20"/>
    </row>
    <row r="2398" spans="3:3">
      <c r="C2398" s="20"/>
    </row>
    <row r="2399" spans="3:3">
      <c r="C2399" s="20"/>
    </row>
    <row r="2400" spans="3:3">
      <c r="C2400" s="20"/>
    </row>
    <row r="2401" spans="3:3">
      <c r="C2401" s="20"/>
    </row>
    <row r="2402" spans="3:3">
      <c r="C2402" s="20"/>
    </row>
    <row r="2403" spans="3:3">
      <c r="C2403" s="20"/>
    </row>
    <row r="2404" spans="3:3">
      <c r="C2404" s="20"/>
    </row>
    <row r="2405" spans="3:3">
      <c r="C2405" s="20"/>
    </row>
    <row r="2406" spans="3:3">
      <c r="C2406" s="20"/>
    </row>
    <row r="2407" spans="3:3">
      <c r="C2407" s="20"/>
    </row>
    <row r="2408" spans="3:3">
      <c r="C2408" s="20"/>
    </row>
    <row r="2409" spans="3:3">
      <c r="C2409" s="20"/>
    </row>
    <row r="2410" spans="3:3">
      <c r="C2410" s="20"/>
    </row>
    <row r="2411" spans="3:3">
      <c r="C2411" s="20"/>
    </row>
    <row r="2412" spans="3:3">
      <c r="C2412" s="20"/>
    </row>
    <row r="2413" spans="3:3">
      <c r="C2413" s="20"/>
    </row>
    <row r="2414" spans="3:3">
      <c r="C2414" s="20"/>
    </row>
    <row r="2415" spans="3:3">
      <c r="C2415" s="20"/>
    </row>
    <row r="2416" spans="3:3">
      <c r="C2416" s="20"/>
    </row>
    <row r="2417" spans="3:3">
      <c r="C2417" s="20"/>
    </row>
    <row r="2418" spans="3:3">
      <c r="C2418" s="20"/>
    </row>
    <row r="2419" spans="3:3">
      <c r="C2419" s="20"/>
    </row>
    <row r="2420" spans="3:3">
      <c r="C2420" s="20"/>
    </row>
    <row r="2421" spans="3:3">
      <c r="C2421" s="20"/>
    </row>
    <row r="2422" spans="3:3">
      <c r="C2422" s="20"/>
    </row>
    <row r="2423" spans="3:3">
      <c r="C2423" s="20"/>
    </row>
    <row r="2424" spans="3:3">
      <c r="C2424" s="20"/>
    </row>
    <row r="2425" spans="3:3">
      <c r="C2425" s="20"/>
    </row>
    <row r="2426" spans="3:3">
      <c r="C2426" s="20"/>
    </row>
    <row r="2427" spans="3:3">
      <c r="C2427" s="20"/>
    </row>
    <row r="2428" spans="3:3">
      <c r="C2428" s="20"/>
    </row>
    <row r="2429" spans="3:3">
      <c r="C2429" s="20"/>
    </row>
    <row r="2430" spans="3:3">
      <c r="C2430" s="20"/>
    </row>
    <row r="2431" spans="3:3">
      <c r="C2431" s="20"/>
    </row>
    <row r="2432" spans="3:3">
      <c r="C2432" s="20"/>
    </row>
    <row r="2433" spans="3:3">
      <c r="C2433" s="20"/>
    </row>
    <row r="2434" spans="3:3">
      <c r="C2434" s="20"/>
    </row>
    <row r="2435" spans="3:3">
      <c r="C2435" s="20"/>
    </row>
    <row r="2436" spans="3:3">
      <c r="C2436" s="20"/>
    </row>
    <row r="2437" spans="3:3">
      <c r="C2437" s="20"/>
    </row>
    <row r="2438" spans="3:3">
      <c r="C2438" s="20"/>
    </row>
    <row r="2439" spans="3:3">
      <c r="C2439" s="20"/>
    </row>
    <row r="2440" spans="3:3">
      <c r="C2440" s="20"/>
    </row>
    <row r="2441" spans="3:3">
      <c r="C2441" s="20"/>
    </row>
    <row r="2442" spans="3:3">
      <c r="C2442" s="20"/>
    </row>
    <row r="2443" spans="3:3">
      <c r="C2443" s="20"/>
    </row>
    <row r="2444" spans="3:3">
      <c r="C2444" s="20"/>
    </row>
    <row r="2445" spans="3:3">
      <c r="C2445" s="20"/>
    </row>
    <row r="2446" spans="3:3">
      <c r="C2446" s="20"/>
    </row>
    <row r="2447" spans="3:3">
      <c r="C2447" s="20"/>
    </row>
    <row r="2448" spans="3:3">
      <c r="C2448" s="20"/>
    </row>
    <row r="2449" spans="3:3">
      <c r="C2449" s="20"/>
    </row>
    <row r="2450" spans="3:3">
      <c r="C2450" s="20"/>
    </row>
    <row r="2451" spans="3:3">
      <c r="C2451" s="20"/>
    </row>
    <row r="2452" spans="3:3">
      <c r="C2452" s="20"/>
    </row>
    <row r="2453" spans="3:3">
      <c r="C2453" s="20"/>
    </row>
    <row r="2454" spans="3:3">
      <c r="C2454" s="20"/>
    </row>
    <row r="2455" spans="3:3">
      <c r="C2455" s="20"/>
    </row>
    <row r="2456" spans="3:3">
      <c r="C2456" s="20"/>
    </row>
    <row r="2457" spans="3:3">
      <c r="C2457" s="20"/>
    </row>
    <row r="2458" spans="3:3">
      <c r="C2458" s="20"/>
    </row>
    <row r="2459" spans="3:3">
      <c r="C2459" s="20"/>
    </row>
    <row r="2460" spans="3:3">
      <c r="C2460" s="20"/>
    </row>
    <row r="2461" spans="3:3">
      <c r="C2461" s="20"/>
    </row>
    <row r="2462" spans="3:3">
      <c r="C2462" s="20"/>
    </row>
    <row r="2463" spans="3:3">
      <c r="C2463" s="20"/>
    </row>
    <row r="2464" spans="3:3">
      <c r="C2464" s="20"/>
    </row>
    <row r="2465" spans="3:3">
      <c r="C2465" s="20"/>
    </row>
    <row r="2466" spans="3:3">
      <c r="C2466" s="20"/>
    </row>
    <row r="2467" spans="3:3">
      <c r="C2467" s="20"/>
    </row>
    <row r="2468" spans="3:3">
      <c r="C2468" s="20"/>
    </row>
    <row r="2469" spans="3:3">
      <c r="C2469" s="20"/>
    </row>
    <row r="2470" spans="3:3">
      <c r="C2470" s="20"/>
    </row>
    <row r="2471" spans="3:3">
      <c r="C2471" s="20"/>
    </row>
    <row r="2472" spans="3:3">
      <c r="C2472" s="20"/>
    </row>
    <row r="2473" spans="3:3">
      <c r="C2473" s="20"/>
    </row>
    <row r="2474" spans="3:3">
      <c r="C2474" s="20"/>
    </row>
    <row r="2475" spans="3:3">
      <c r="C2475" s="20"/>
    </row>
    <row r="2476" spans="3:3">
      <c r="C2476" s="20"/>
    </row>
    <row r="2477" spans="3:3">
      <c r="C2477" s="20"/>
    </row>
    <row r="2478" spans="3:3">
      <c r="C2478" s="20"/>
    </row>
    <row r="2479" spans="3:3">
      <c r="C2479" s="20"/>
    </row>
    <row r="2480" spans="3:3">
      <c r="C2480" s="20"/>
    </row>
    <row r="2481" spans="3:3">
      <c r="C2481" s="20"/>
    </row>
    <row r="2482" spans="3:3">
      <c r="C2482" s="20"/>
    </row>
    <row r="2483" spans="3:3">
      <c r="C2483" s="20"/>
    </row>
    <row r="2484" spans="3:3">
      <c r="C2484" s="20"/>
    </row>
    <row r="2485" spans="3:3">
      <c r="C2485" s="20"/>
    </row>
    <row r="2486" spans="3:3">
      <c r="C2486" s="20"/>
    </row>
    <row r="2487" spans="3:3">
      <c r="C2487" s="20"/>
    </row>
    <row r="2488" spans="3:3">
      <c r="C2488" s="20"/>
    </row>
    <row r="2489" spans="3:3">
      <c r="C2489" s="20"/>
    </row>
    <row r="2490" spans="3:3">
      <c r="C2490" s="20"/>
    </row>
    <row r="2491" spans="3:3">
      <c r="C2491" s="20"/>
    </row>
    <row r="2492" spans="3:3">
      <c r="C2492" s="20"/>
    </row>
    <row r="2493" spans="3:3">
      <c r="C2493" s="20"/>
    </row>
    <row r="2494" spans="3:3">
      <c r="C2494" s="20"/>
    </row>
    <row r="2495" spans="3:3">
      <c r="C2495" s="20"/>
    </row>
    <row r="2496" spans="3:3">
      <c r="C2496" s="20"/>
    </row>
    <row r="2497" spans="3:3">
      <c r="C2497" s="20"/>
    </row>
    <row r="2498" spans="3:3">
      <c r="C2498" s="20"/>
    </row>
    <row r="2499" spans="3:3">
      <c r="C2499" s="20"/>
    </row>
    <row r="2500" spans="3:3">
      <c r="C2500" s="20"/>
    </row>
    <row r="2501" spans="3:3">
      <c r="C2501" s="20"/>
    </row>
    <row r="2502" spans="3:3">
      <c r="C2502" s="20"/>
    </row>
    <row r="2503" spans="3:3">
      <c r="C2503" s="20"/>
    </row>
    <row r="2504" spans="3:3">
      <c r="C2504" s="20"/>
    </row>
    <row r="2505" spans="3:3">
      <c r="C2505" s="20"/>
    </row>
    <row r="2506" spans="3:3">
      <c r="C2506" s="20"/>
    </row>
    <row r="2507" spans="3:3">
      <c r="C2507" s="20"/>
    </row>
    <row r="2508" spans="3:3">
      <c r="C2508" s="20"/>
    </row>
    <row r="2509" spans="3:3">
      <c r="C2509" s="20"/>
    </row>
    <row r="2510" spans="3:3">
      <c r="C2510" s="20"/>
    </row>
    <row r="2511" spans="3:3">
      <c r="C2511" s="20"/>
    </row>
    <row r="2512" spans="3:3">
      <c r="C2512" s="20"/>
    </row>
    <row r="2513" spans="3:3">
      <c r="C2513" s="20"/>
    </row>
    <row r="2514" spans="3:3">
      <c r="C2514" s="20"/>
    </row>
    <row r="2515" spans="3:3">
      <c r="C2515" s="20"/>
    </row>
    <row r="2516" spans="3:3">
      <c r="C2516" s="20"/>
    </row>
    <row r="2517" spans="3:3">
      <c r="C2517" s="20"/>
    </row>
    <row r="2518" spans="3:3">
      <c r="C2518" s="20"/>
    </row>
    <row r="2519" spans="3:3">
      <c r="C2519" s="20"/>
    </row>
    <row r="2520" spans="3:3">
      <c r="C2520" s="20"/>
    </row>
    <row r="2521" spans="3:3">
      <c r="C2521" s="20"/>
    </row>
    <row r="2522" spans="3:3">
      <c r="C2522" s="20"/>
    </row>
    <row r="2523" spans="3:3">
      <c r="C2523" s="20"/>
    </row>
    <row r="2524" spans="3:3">
      <c r="C2524" s="20"/>
    </row>
    <row r="2525" spans="3:3">
      <c r="C2525" s="20"/>
    </row>
    <row r="2526" spans="3:3">
      <c r="C2526" s="20"/>
    </row>
    <row r="2527" spans="3:3">
      <c r="C2527" s="20"/>
    </row>
    <row r="2528" spans="3:3">
      <c r="C2528" s="20"/>
    </row>
    <row r="2529" spans="3:3">
      <c r="C2529" s="20"/>
    </row>
    <row r="2530" spans="3:3">
      <c r="C2530" s="20"/>
    </row>
    <row r="2531" spans="3:3">
      <c r="C2531" s="20"/>
    </row>
    <row r="2532" spans="3:3">
      <c r="C2532" s="20"/>
    </row>
    <row r="2533" spans="3:3">
      <c r="C2533" s="20"/>
    </row>
    <row r="2534" spans="3:3">
      <c r="C2534" s="20"/>
    </row>
    <row r="2535" spans="3:3">
      <c r="C2535" s="20"/>
    </row>
    <row r="2536" spans="3:3">
      <c r="C2536" s="20"/>
    </row>
    <row r="2537" spans="3:3">
      <c r="C2537" s="20"/>
    </row>
    <row r="2538" spans="3:3">
      <c r="C2538" s="20"/>
    </row>
    <row r="2539" spans="3:3">
      <c r="C2539" s="20"/>
    </row>
    <row r="2540" spans="3:3">
      <c r="C2540" s="20"/>
    </row>
    <row r="2541" spans="3:3">
      <c r="C2541" s="20"/>
    </row>
    <row r="2542" spans="3:3">
      <c r="C2542" s="20"/>
    </row>
    <row r="2543" spans="3:3">
      <c r="C2543" s="20"/>
    </row>
    <row r="2544" spans="3:3">
      <c r="C2544" s="20"/>
    </row>
    <row r="2545" spans="3:3">
      <c r="C2545" s="20"/>
    </row>
    <row r="2546" spans="3:3">
      <c r="C2546" s="20"/>
    </row>
    <row r="2547" spans="3:3">
      <c r="C2547" s="20"/>
    </row>
    <row r="2548" spans="3:3">
      <c r="C2548" s="20"/>
    </row>
    <row r="2549" spans="3:3">
      <c r="C2549" s="20"/>
    </row>
    <row r="2550" spans="3:3">
      <c r="C2550" s="20"/>
    </row>
    <row r="2551" spans="3:3">
      <c r="C2551" s="20"/>
    </row>
    <row r="2552" spans="3:3">
      <c r="C2552" s="20"/>
    </row>
    <row r="2553" spans="3:3">
      <c r="C2553" s="20"/>
    </row>
    <row r="2554" spans="3:3">
      <c r="C2554" s="20"/>
    </row>
    <row r="2555" spans="3:3">
      <c r="C2555" s="20"/>
    </row>
    <row r="2556" spans="3:3">
      <c r="C2556" s="20"/>
    </row>
    <row r="2557" spans="3:3">
      <c r="C2557" s="20"/>
    </row>
    <row r="2558" spans="3:3">
      <c r="C2558" s="20"/>
    </row>
    <row r="2559" spans="3:3">
      <c r="C2559" s="20"/>
    </row>
    <row r="2560" spans="3:3">
      <c r="C2560" s="20"/>
    </row>
    <row r="2561" spans="3:3">
      <c r="C2561" s="20"/>
    </row>
    <row r="2562" spans="3:3">
      <c r="C2562" s="20"/>
    </row>
    <row r="2563" spans="3:3">
      <c r="C2563" s="20"/>
    </row>
    <row r="2564" spans="3:3">
      <c r="C2564" s="20"/>
    </row>
    <row r="2565" spans="3:3">
      <c r="C2565" s="20"/>
    </row>
    <row r="2566" spans="3:3">
      <c r="C2566" s="20"/>
    </row>
    <row r="2567" spans="3:3">
      <c r="C2567" s="20"/>
    </row>
    <row r="2568" spans="3:3">
      <c r="C2568" s="20"/>
    </row>
    <row r="2569" spans="3:3">
      <c r="C2569" s="20"/>
    </row>
    <row r="2570" spans="3:3">
      <c r="C2570" s="20"/>
    </row>
    <row r="2571" spans="3:3">
      <c r="C2571" s="20"/>
    </row>
    <row r="2572" spans="3:3">
      <c r="C2572" s="20"/>
    </row>
    <row r="2573" spans="3:3">
      <c r="C2573" s="20"/>
    </row>
    <row r="2574" spans="3:3">
      <c r="C2574" s="20"/>
    </row>
    <row r="2575" spans="3:3">
      <c r="C2575" s="20"/>
    </row>
    <row r="2576" spans="3:3">
      <c r="C2576" s="20"/>
    </row>
    <row r="2577" spans="3:3">
      <c r="C2577" s="20"/>
    </row>
    <row r="2578" spans="3:3">
      <c r="C2578" s="20"/>
    </row>
    <row r="2579" spans="3:3">
      <c r="C2579" s="20"/>
    </row>
    <row r="2580" spans="3:3">
      <c r="C2580" s="20"/>
    </row>
    <row r="2581" spans="3:3">
      <c r="C2581" s="20"/>
    </row>
    <row r="2582" spans="3:3">
      <c r="C2582" s="20"/>
    </row>
    <row r="2583" spans="3:3">
      <c r="C2583" s="20"/>
    </row>
    <row r="2584" spans="3:3">
      <c r="C2584" s="20"/>
    </row>
    <row r="2585" spans="3:3">
      <c r="C2585" s="20"/>
    </row>
    <row r="2586" spans="3:3">
      <c r="C2586" s="20"/>
    </row>
    <row r="2587" spans="3:3">
      <c r="C2587" s="20"/>
    </row>
    <row r="2588" spans="3:3">
      <c r="C2588" s="20"/>
    </row>
    <row r="2589" spans="3:3">
      <c r="C2589" s="20"/>
    </row>
    <row r="2590" spans="3:3">
      <c r="C2590" s="20"/>
    </row>
    <row r="2591" spans="3:3">
      <c r="C2591" s="20"/>
    </row>
    <row r="2592" spans="3:3">
      <c r="C2592" s="20"/>
    </row>
    <row r="2593" spans="3:3">
      <c r="C2593" s="20"/>
    </row>
    <row r="2594" spans="3:3">
      <c r="C2594" s="20"/>
    </row>
    <row r="2595" spans="3:3">
      <c r="C2595" s="20"/>
    </row>
    <row r="2596" spans="3:3">
      <c r="C2596" s="20"/>
    </row>
    <row r="2597" spans="3:3">
      <c r="C2597" s="20"/>
    </row>
    <row r="2598" spans="3:3">
      <c r="C2598" s="20"/>
    </row>
    <row r="2599" spans="3:3">
      <c r="C2599" s="20"/>
    </row>
    <row r="2600" spans="3:3">
      <c r="C2600" s="20"/>
    </row>
    <row r="2601" spans="3:3">
      <c r="C2601" s="20"/>
    </row>
    <row r="2602" spans="3:3">
      <c r="C2602" s="20"/>
    </row>
    <row r="2603" spans="3:3">
      <c r="C2603" s="20"/>
    </row>
    <row r="2604" spans="3:3">
      <c r="C2604" s="20"/>
    </row>
    <row r="2605" spans="3:3">
      <c r="C2605" s="20"/>
    </row>
    <row r="2606" spans="3:3">
      <c r="C2606" s="20"/>
    </row>
    <row r="2607" spans="3:3">
      <c r="C2607" s="20"/>
    </row>
    <row r="2608" spans="3:3">
      <c r="C2608" s="20"/>
    </row>
    <row r="2609" spans="3:3">
      <c r="C2609" s="20"/>
    </row>
    <row r="2610" spans="3:3">
      <c r="C2610" s="20"/>
    </row>
    <row r="2611" spans="3:3">
      <c r="C2611" s="20"/>
    </row>
    <row r="2612" spans="3:3">
      <c r="C2612" s="20"/>
    </row>
    <row r="2613" spans="3:3">
      <c r="C2613" s="20"/>
    </row>
    <row r="2614" spans="3:3">
      <c r="C2614" s="20"/>
    </row>
    <row r="2615" spans="3:3">
      <c r="C2615" s="20"/>
    </row>
    <row r="2616" spans="3:3">
      <c r="C2616" s="20"/>
    </row>
    <row r="2617" spans="3:3">
      <c r="C2617" s="20"/>
    </row>
    <row r="2618" spans="3:3">
      <c r="C2618" s="20"/>
    </row>
    <row r="2619" spans="3:3">
      <c r="C2619" s="20"/>
    </row>
    <row r="2620" spans="3:3">
      <c r="C2620" s="20"/>
    </row>
    <row r="2621" spans="3:3">
      <c r="C2621" s="20"/>
    </row>
    <row r="2622" spans="3:3">
      <c r="C2622" s="20"/>
    </row>
    <row r="2623" spans="3:3">
      <c r="C2623" s="20"/>
    </row>
    <row r="2624" spans="3:3">
      <c r="C2624" s="20"/>
    </row>
    <row r="2625" spans="3:3">
      <c r="C2625" s="20"/>
    </row>
    <row r="2626" spans="3:3">
      <c r="C2626" s="20"/>
    </row>
    <row r="2627" spans="3:3">
      <c r="C2627" s="20"/>
    </row>
    <row r="2628" spans="3:3">
      <c r="C2628" s="20"/>
    </row>
    <row r="2629" spans="3:3">
      <c r="C2629" s="20"/>
    </row>
    <row r="2630" spans="3:3">
      <c r="C2630" s="20"/>
    </row>
    <row r="2631" spans="3:3">
      <c r="C2631" s="20"/>
    </row>
    <row r="2632" spans="3:3">
      <c r="C2632" s="20"/>
    </row>
    <row r="2633" spans="3:3">
      <c r="C2633" s="20"/>
    </row>
    <row r="2634" spans="3:3">
      <c r="C2634" s="20"/>
    </row>
    <row r="2635" spans="3:3">
      <c r="C2635" s="20"/>
    </row>
    <row r="2636" spans="3:3">
      <c r="C2636" s="20"/>
    </row>
    <row r="2637" spans="3:3">
      <c r="C2637" s="20"/>
    </row>
    <row r="2638" spans="3:3">
      <c r="C2638" s="20"/>
    </row>
    <row r="2639" spans="3:3">
      <c r="C2639" s="20"/>
    </row>
    <row r="2640" spans="3:3">
      <c r="C2640" s="20"/>
    </row>
    <row r="2641" spans="3:3">
      <c r="C2641" s="20"/>
    </row>
    <row r="2642" spans="3:3">
      <c r="C2642" s="20"/>
    </row>
    <row r="2643" spans="3:3">
      <c r="C2643" s="20"/>
    </row>
    <row r="2644" spans="3:3">
      <c r="C2644" s="20"/>
    </row>
    <row r="2645" spans="3:3">
      <c r="C2645" s="20"/>
    </row>
    <row r="2646" spans="3:3">
      <c r="C2646" s="20"/>
    </row>
    <row r="2647" spans="3:3">
      <c r="C2647" s="20"/>
    </row>
    <row r="2648" spans="3:3">
      <c r="C2648" s="20"/>
    </row>
    <row r="2649" spans="3:3">
      <c r="C2649" s="20"/>
    </row>
    <row r="2650" spans="3:3">
      <c r="C2650" s="20"/>
    </row>
    <row r="2651" spans="3:3">
      <c r="C2651" s="20"/>
    </row>
    <row r="2652" spans="3:3">
      <c r="C2652" s="20"/>
    </row>
    <row r="2653" spans="3:3">
      <c r="C2653" s="20"/>
    </row>
    <row r="2654" spans="3:3">
      <c r="C2654" s="20"/>
    </row>
    <row r="2655" spans="3:3">
      <c r="C2655" s="20"/>
    </row>
    <row r="2656" spans="3:3">
      <c r="C2656" s="20"/>
    </row>
    <row r="2657" spans="3:3">
      <c r="C2657" s="20"/>
    </row>
    <row r="2658" spans="3:3">
      <c r="C2658" s="20"/>
    </row>
    <row r="2659" spans="3:3">
      <c r="C2659" s="20"/>
    </row>
    <row r="2660" spans="3:3">
      <c r="C2660" s="20"/>
    </row>
    <row r="2661" spans="3:3">
      <c r="C2661" s="20"/>
    </row>
    <row r="2662" spans="3:3">
      <c r="C2662" s="20"/>
    </row>
    <row r="2663" spans="3:3">
      <c r="C2663" s="20"/>
    </row>
    <row r="2664" spans="3:3">
      <c r="C2664" s="20"/>
    </row>
    <row r="2665" spans="3:3">
      <c r="C2665" s="20"/>
    </row>
    <row r="2666" spans="3:3">
      <c r="C2666" s="20"/>
    </row>
    <row r="2667" spans="3:3">
      <c r="C2667" s="20"/>
    </row>
    <row r="2668" spans="3:3">
      <c r="C2668" s="20"/>
    </row>
    <row r="2669" spans="3:3">
      <c r="C2669" s="20"/>
    </row>
    <row r="2670" spans="3:3">
      <c r="C2670" s="20"/>
    </row>
    <row r="2671" spans="3:3">
      <c r="C2671" s="20"/>
    </row>
    <row r="2672" spans="3:3">
      <c r="C2672" s="20"/>
    </row>
    <row r="2673" spans="3:3">
      <c r="C2673" s="20"/>
    </row>
    <row r="2674" spans="3:3">
      <c r="C2674" s="20"/>
    </row>
    <row r="2675" spans="3:3">
      <c r="C2675" s="20"/>
    </row>
    <row r="2676" spans="3:3">
      <c r="C2676" s="20"/>
    </row>
    <row r="2677" spans="3:3">
      <c r="C2677" s="20"/>
    </row>
    <row r="2678" spans="3:3">
      <c r="C2678" s="20"/>
    </row>
    <row r="2679" spans="3:3">
      <c r="C2679" s="20"/>
    </row>
    <row r="2680" spans="3:3">
      <c r="C2680" s="20"/>
    </row>
    <row r="2681" spans="3:3">
      <c r="C2681" s="20"/>
    </row>
    <row r="2682" spans="3:3">
      <c r="C2682" s="20"/>
    </row>
    <row r="2683" spans="3:3">
      <c r="C2683" s="20"/>
    </row>
    <row r="2684" spans="3:3">
      <c r="C2684" s="20"/>
    </row>
    <row r="2685" spans="3:3">
      <c r="C2685" s="20"/>
    </row>
    <row r="2686" spans="3:3">
      <c r="C2686" s="20"/>
    </row>
    <row r="2687" spans="3:3">
      <c r="C2687" s="20"/>
    </row>
    <row r="2688" spans="3:3">
      <c r="C2688" s="20"/>
    </row>
    <row r="2689" spans="3:3">
      <c r="C2689" s="20"/>
    </row>
    <row r="2690" spans="3:3">
      <c r="C2690" s="20"/>
    </row>
    <row r="2691" spans="3:3">
      <c r="C2691" s="20"/>
    </row>
    <row r="2692" spans="3:3">
      <c r="C2692" s="20"/>
    </row>
    <row r="2693" spans="3:3">
      <c r="C2693" s="20"/>
    </row>
    <row r="2694" spans="3:3">
      <c r="C2694" s="20"/>
    </row>
    <row r="2695" spans="3:3">
      <c r="C2695" s="20"/>
    </row>
    <row r="2696" spans="3:3">
      <c r="C2696" s="20"/>
    </row>
    <row r="2697" spans="3:3">
      <c r="C2697" s="20"/>
    </row>
    <row r="2698" spans="3:3">
      <c r="C2698" s="20"/>
    </row>
    <row r="2699" spans="3:3">
      <c r="C2699" s="20"/>
    </row>
    <row r="2700" spans="3:3">
      <c r="C2700" s="20"/>
    </row>
    <row r="2701" spans="3:3">
      <c r="C2701" s="20"/>
    </row>
    <row r="2702" spans="3:3">
      <c r="C2702" s="20"/>
    </row>
    <row r="2703" spans="3:3">
      <c r="C2703" s="20"/>
    </row>
    <row r="2704" spans="3:3">
      <c r="C2704" s="20"/>
    </row>
    <row r="2705" spans="3:3">
      <c r="C2705" s="20"/>
    </row>
    <row r="2706" spans="3:3">
      <c r="C2706" s="20"/>
    </row>
    <row r="2707" spans="3:3">
      <c r="C2707" s="20"/>
    </row>
    <row r="2708" spans="3:3">
      <c r="C2708" s="20"/>
    </row>
    <row r="2709" spans="3:3">
      <c r="C2709" s="20"/>
    </row>
    <row r="2710" spans="3:3">
      <c r="C2710" s="20"/>
    </row>
    <row r="2711" spans="3:3">
      <c r="C2711" s="20"/>
    </row>
    <row r="2712" spans="3:3">
      <c r="C2712" s="20"/>
    </row>
    <row r="2713" spans="3:3">
      <c r="C2713" s="20"/>
    </row>
    <row r="2714" spans="3:3">
      <c r="C2714" s="20"/>
    </row>
    <row r="2715" spans="3:3">
      <c r="C2715" s="20"/>
    </row>
    <row r="2716" spans="3:3">
      <c r="C2716" s="20"/>
    </row>
    <row r="2717" spans="3:3">
      <c r="C2717" s="20"/>
    </row>
    <row r="2718" spans="3:3">
      <c r="C2718" s="20"/>
    </row>
    <row r="2719" spans="3:3">
      <c r="C2719" s="20"/>
    </row>
    <row r="2720" spans="3:3">
      <c r="C2720" s="20"/>
    </row>
    <row r="2721" spans="3:3">
      <c r="C2721" s="20"/>
    </row>
    <row r="2722" spans="3:3">
      <c r="C2722" s="20"/>
    </row>
    <row r="2723" spans="3:3">
      <c r="C2723" s="20"/>
    </row>
    <row r="2724" spans="3:3">
      <c r="C2724" s="20"/>
    </row>
    <row r="2725" spans="3:3">
      <c r="C2725" s="20"/>
    </row>
    <row r="2726" spans="3:3">
      <c r="C2726" s="20"/>
    </row>
    <row r="2727" spans="3:3">
      <c r="C2727" s="20"/>
    </row>
    <row r="2728" spans="3:3">
      <c r="C2728" s="20"/>
    </row>
    <row r="2729" spans="3:3">
      <c r="C2729" s="20"/>
    </row>
    <row r="2730" spans="3:3">
      <c r="C2730" s="20"/>
    </row>
    <row r="2731" spans="3:3">
      <c r="C2731" s="20"/>
    </row>
    <row r="2732" spans="3:3">
      <c r="C2732" s="20"/>
    </row>
    <row r="2733" spans="3:3">
      <c r="C2733" s="20"/>
    </row>
    <row r="2734" spans="3:3">
      <c r="C2734" s="20"/>
    </row>
    <row r="2735" spans="3:3">
      <c r="C2735" s="20"/>
    </row>
    <row r="2736" spans="3:3">
      <c r="C2736" s="20"/>
    </row>
    <row r="2737" spans="3:3">
      <c r="C2737" s="20"/>
    </row>
    <row r="2738" spans="3:3">
      <c r="C2738" s="20"/>
    </row>
    <row r="2739" spans="3:3">
      <c r="C2739" s="20"/>
    </row>
    <row r="2740" spans="3:3">
      <c r="C2740" s="20"/>
    </row>
    <row r="2741" spans="3:3">
      <c r="C2741" s="20"/>
    </row>
    <row r="2742" spans="3:3">
      <c r="C2742" s="20"/>
    </row>
    <row r="2743" spans="3:3">
      <c r="C2743" s="20"/>
    </row>
    <row r="2744" spans="3:3">
      <c r="C2744" s="20"/>
    </row>
    <row r="2745" spans="3:3">
      <c r="C2745" s="20"/>
    </row>
    <row r="2746" spans="3:3">
      <c r="C2746" s="20"/>
    </row>
    <row r="2747" spans="3:3">
      <c r="C2747" s="20"/>
    </row>
    <row r="2748" spans="3:3">
      <c r="C2748" s="20"/>
    </row>
    <row r="2749" spans="3:3">
      <c r="C2749" s="20"/>
    </row>
    <row r="2750" spans="3:3">
      <c r="C2750" s="20"/>
    </row>
    <row r="2751" spans="3:3">
      <c r="C2751" s="20"/>
    </row>
    <row r="2752" spans="3:3">
      <c r="C2752" s="20"/>
    </row>
    <row r="2753" spans="3:3">
      <c r="C2753" s="20"/>
    </row>
    <row r="2754" spans="3:3">
      <c r="C2754" s="20"/>
    </row>
    <row r="2755" spans="3:3">
      <c r="C2755" s="20"/>
    </row>
    <row r="2756" spans="3:3">
      <c r="C2756" s="20"/>
    </row>
    <row r="2757" spans="3:3">
      <c r="C2757" s="20"/>
    </row>
    <row r="2758" spans="3:3">
      <c r="C2758" s="20"/>
    </row>
    <row r="2759" spans="3:3">
      <c r="C2759" s="20"/>
    </row>
    <row r="2760" spans="3:3">
      <c r="C2760" s="20"/>
    </row>
    <row r="2761" spans="3:3">
      <c r="C2761" s="20"/>
    </row>
    <row r="2762" spans="3:3">
      <c r="C2762" s="20"/>
    </row>
    <row r="2763" spans="3:3">
      <c r="C2763" s="20"/>
    </row>
    <row r="2764" spans="3:3">
      <c r="C2764" s="20"/>
    </row>
    <row r="2765" spans="3:3">
      <c r="C2765" s="20"/>
    </row>
    <row r="2766" spans="3:3">
      <c r="C2766" s="20"/>
    </row>
    <row r="2767" spans="3:3">
      <c r="C2767" s="20"/>
    </row>
    <row r="2768" spans="3:3">
      <c r="C2768" s="20"/>
    </row>
    <row r="2769" spans="3:3">
      <c r="C2769" s="20"/>
    </row>
    <row r="2770" spans="3:3">
      <c r="C2770" s="20"/>
    </row>
    <row r="2771" spans="3:3">
      <c r="C2771" s="20"/>
    </row>
    <row r="2772" spans="3:3">
      <c r="C2772" s="20"/>
    </row>
    <row r="2773" spans="3:3">
      <c r="C2773" s="20"/>
    </row>
    <row r="2774" spans="3:3">
      <c r="C2774" s="20"/>
    </row>
    <row r="2775" spans="3:3">
      <c r="C2775" s="20"/>
    </row>
    <row r="2776" spans="3:3">
      <c r="C2776" s="20"/>
    </row>
    <row r="2777" spans="3:3">
      <c r="C2777" s="20"/>
    </row>
    <row r="2778" spans="3:3">
      <c r="C2778" s="20"/>
    </row>
    <row r="2779" spans="3:3">
      <c r="C2779" s="20"/>
    </row>
    <row r="2780" spans="3:3">
      <c r="C2780" s="20"/>
    </row>
    <row r="2781" spans="3:3">
      <c r="C2781" s="20"/>
    </row>
    <row r="2782" spans="3:3">
      <c r="C2782" s="20"/>
    </row>
    <row r="2783" spans="3:3">
      <c r="C2783" s="20"/>
    </row>
    <row r="2784" spans="3:3">
      <c r="C2784" s="20"/>
    </row>
    <row r="2785" spans="3:3">
      <c r="C2785" s="20"/>
    </row>
    <row r="2786" spans="3:3">
      <c r="C2786" s="20"/>
    </row>
    <row r="2787" spans="3:3">
      <c r="C2787" s="20"/>
    </row>
    <row r="2788" spans="3:3">
      <c r="C2788" s="20"/>
    </row>
    <row r="2789" spans="3:3">
      <c r="C2789" s="20"/>
    </row>
    <row r="2790" spans="3:3">
      <c r="C2790" s="20"/>
    </row>
    <row r="2791" spans="3:3">
      <c r="C2791" s="20"/>
    </row>
    <row r="2792" spans="3:3">
      <c r="C2792" s="20"/>
    </row>
    <row r="2793" spans="3:3">
      <c r="C2793" s="20"/>
    </row>
    <row r="2794" spans="3:3">
      <c r="C2794" s="20"/>
    </row>
    <row r="2795" spans="3:3">
      <c r="C2795" s="20"/>
    </row>
    <row r="2796" spans="3:3">
      <c r="C2796" s="20"/>
    </row>
    <row r="2797" spans="3:3">
      <c r="C2797" s="20"/>
    </row>
    <row r="2798" spans="3:3">
      <c r="C2798" s="20"/>
    </row>
    <row r="2799" spans="3:3">
      <c r="C2799" s="20"/>
    </row>
    <row r="2800" spans="3:3">
      <c r="C2800" s="20"/>
    </row>
    <row r="2801" spans="3:3">
      <c r="C2801" s="20"/>
    </row>
    <row r="2802" spans="3:3">
      <c r="C2802" s="20"/>
    </row>
    <row r="2803" spans="3:3">
      <c r="C2803" s="20"/>
    </row>
    <row r="2804" spans="3:3">
      <c r="C2804" s="20"/>
    </row>
    <row r="2805" spans="3:3">
      <c r="C2805" s="20"/>
    </row>
    <row r="2806" spans="3:3">
      <c r="C2806" s="20"/>
    </row>
    <row r="2807" spans="3:3">
      <c r="C2807" s="20"/>
    </row>
    <row r="2808" spans="3:3">
      <c r="C2808" s="20"/>
    </row>
    <row r="2809" spans="3:3">
      <c r="C2809" s="20"/>
    </row>
    <row r="2810" spans="3:3">
      <c r="C2810" s="20"/>
    </row>
    <row r="2811" spans="3:3">
      <c r="C2811" s="20"/>
    </row>
    <row r="2812" spans="3:3">
      <c r="C2812" s="20"/>
    </row>
    <row r="2813" spans="3:3">
      <c r="C2813" s="20"/>
    </row>
    <row r="2814" spans="3:3">
      <c r="C2814" s="20"/>
    </row>
    <row r="2815" spans="3:3">
      <c r="C2815" s="20"/>
    </row>
    <row r="2816" spans="3:3">
      <c r="C2816" s="20"/>
    </row>
    <row r="2817" spans="3:3">
      <c r="C2817" s="20"/>
    </row>
    <row r="2818" spans="3:3">
      <c r="C2818" s="20"/>
    </row>
    <row r="2819" spans="3:3">
      <c r="C2819" s="20"/>
    </row>
    <row r="2820" spans="3:3">
      <c r="C2820" s="20"/>
    </row>
    <row r="2821" spans="3:3">
      <c r="C2821" s="20"/>
    </row>
    <row r="2822" spans="3:3">
      <c r="C2822" s="20"/>
    </row>
    <row r="2823" spans="3:3">
      <c r="C2823" s="20"/>
    </row>
    <row r="2824" spans="3:3">
      <c r="C2824" s="20"/>
    </row>
    <row r="2825" spans="3:3">
      <c r="C2825" s="20"/>
    </row>
    <row r="2826" spans="3:3">
      <c r="C2826" s="20"/>
    </row>
    <row r="2827" spans="3:3">
      <c r="C2827" s="20"/>
    </row>
    <row r="2828" spans="3:3">
      <c r="C2828" s="20"/>
    </row>
    <row r="2829" spans="3:3">
      <c r="C2829" s="20"/>
    </row>
    <row r="2830" spans="3:3">
      <c r="C2830" s="20"/>
    </row>
    <row r="2831" spans="3:3">
      <c r="C2831" s="20"/>
    </row>
    <row r="2832" spans="3:3">
      <c r="C2832" s="20"/>
    </row>
    <row r="2833" spans="3:3">
      <c r="C2833" s="20"/>
    </row>
    <row r="2834" spans="3:3">
      <c r="C2834" s="20"/>
    </row>
    <row r="2835" spans="3:3">
      <c r="C2835" s="20"/>
    </row>
    <row r="2836" spans="3:3">
      <c r="C2836" s="20"/>
    </row>
    <row r="2837" spans="3:3">
      <c r="C2837" s="20"/>
    </row>
    <row r="2838" spans="3:3">
      <c r="C2838" s="20"/>
    </row>
    <row r="2839" spans="3:3">
      <c r="C2839" s="20"/>
    </row>
    <row r="2840" spans="3:3">
      <c r="C2840" s="20"/>
    </row>
    <row r="2841" spans="3:3">
      <c r="C2841" s="20"/>
    </row>
    <row r="2842" spans="3:3">
      <c r="C2842" s="20"/>
    </row>
    <row r="2843" spans="3:3">
      <c r="C2843" s="20"/>
    </row>
    <row r="2844" spans="3:3">
      <c r="C2844" s="20"/>
    </row>
    <row r="2845" spans="3:3">
      <c r="C2845" s="20"/>
    </row>
    <row r="2846" spans="3:3">
      <c r="C2846" s="20"/>
    </row>
    <row r="2847" spans="3:3">
      <c r="C2847" s="20"/>
    </row>
    <row r="2848" spans="3:3">
      <c r="C2848" s="20"/>
    </row>
    <row r="2849" spans="3:3">
      <c r="C2849" s="20"/>
    </row>
    <row r="2850" spans="3:3">
      <c r="C2850" s="20"/>
    </row>
    <row r="2851" spans="3:3">
      <c r="C2851" s="20"/>
    </row>
    <row r="2852" spans="3:3">
      <c r="C2852" s="20"/>
    </row>
    <row r="2853" spans="3:3">
      <c r="C2853" s="20"/>
    </row>
    <row r="2854" spans="3:3">
      <c r="C2854" s="20"/>
    </row>
    <row r="2855" spans="3:3">
      <c r="C2855" s="20"/>
    </row>
    <row r="2856" spans="3:3">
      <c r="C2856" s="20"/>
    </row>
    <row r="2857" spans="3:3">
      <c r="C2857" s="20"/>
    </row>
    <row r="2858" spans="3:3">
      <c r="C2858" s="20"/>
    </row>
    <row r="2859" spans="3:3">
      <c r="C2859" s="20"/>
    </row>
    <row r="2860" spans="3:3">
      <c r="C2860" s="20"/>
    </row>
    <row r="2861" spans="3:3">
      <c r="C2861" s="20"/>
    </row>
    <row r="2862" spans="3:3">
      <c r="C2862" s="20"/>
    </row>
    <row r="2863" spans="3:3">
      <c r="C2863" s="20"/>
    </row>
    <row r="2864" spans="3:3">
      <c r="C2864" s="20"/>
    </row>
    <row r="2865" spans="3:3">
      <c r="C2865" s="20"/>
    </row>
    <row r="2866" spans="3:3">
      <c r="C2866" s="20"/>
    </row>
    <row r="2867" spans="3:3">
      <c r="C2867" s="20"/>
    </row>
    <row r="2868" spans="3:3">
      <c r="C2868" s="20"/>
    </row>
    <row r="2869" spans="3:3">
      <c r="C2869" s="20"/>
    </row>
    <row r="2870" spans="3:3">
      <c r="C2870" s="20"/>
    </row>
    <row r="2871" spans="3:3">
      <c r="C2871" s="20"/>
    </row>
    <row r="2872" spans="3:3">
      <c r="C2872" s="20"/>
    </row>
    <row r="2873" spans="3:3">
      <c r="C2873" s="20"/>
    </row>
    <row r="2874" spans="3:3">
      <c r="C2874" s="20"/>
    </row>
    <row r="2875" spans="3:3">
      <c r="C2875" s="20"/>
    </row>
    <row r="2876" spans="3:3">
      <c r="C2876" s="20"/>
    </row>
    <row r="2877" spans="3:3">
      <c r="C2877" s="20"/>
    </row>
    <row r="2878" spans="3:3">
      <c r="C2878" s="20"/>
    </row>
    <row r="2879" spans="3:3">
      <c r="C2879" s="20"/>
    </row>
    <row r="2880" spans="3:3">
      <c r="C2880" s="20"/>
    </row>
    <row r="2881" spans="3:3">
      <c r="C2881" s="20"/>
    </row>
    <row r="2882" spans="3:3">
      <c r="C2882" s="20"/>
    </row>
    <row r="2883" spans="3:3">
      <c r="C2883" s="20"/>
    </row>
    <row r="2884" spans="3:3">
      <c r="C2884" s="20"/>
    </row>
    <row r="2885" spans="3:3">
      <c r="C2885" s="20"/>
    </row>
    <row r="2886" spans="3:3">
      <c r="C2886" s="20"/>
    </row>
    <row r="2887" spans="3:3">
      <c r="C2887" s="20"/>
    </row>
    <row r="2888" spans="3:3">
      <c r="C2888" s="20"/>
    </row>
    <row r="2889" spans="3:3">
      <c r="C2889" s="20"/>
    </row>
    <row r="2890" spans="3:3">
      <c r="C2890" s="20"/>
    </row>
    <row r="2891" spans="3:3">
      <c r="C2891" s="20"/>
    </row>
    <row r="2892" spans="3:3">
      <c r="C2892" s="20"/>
    </row>
    <row r="2893" spans="3:3">
      <c r="C2893" s="20"/>
    </row>
    <row r="2894" spans="3:3">
      <c r="C2894" s="20"/>
    </row>
    <row r="2895" spans="3:3">
      <c r="C2895" s="20"/>
    </row>
    <row r="2896" spans="3:3">
      <c r="C2896" s="20"/>
    </row>
    <row r="2897" spans="3:3">
      <c r="C2897" s="20"/>
    </row>
    <row r="2898" spans="3:3">
      <c r="C2898" s="20"/>
    </row>
    <row r="2899" spans="3:3">
      <c r="C2899" s="20"/>
    </row>
    <row r="2900" spans="3:3">
      <c r="C2900" s="20"/>
    </row>
    <row r="2901" spans="3:3">
      <c r="C2901" s="20"/>
    </row>
    <row r="2902" spans="3:3">
      <c r="C2902" s="20"/>
    </row>
    <row r="2903" spans="3:3">
      <c r="C2903" s="20"/>
    </row>
    <row r="2904" spans="3:3">
      <c r="C2904" s="20"/>
    </row>
    <row r="2905" spans="3:3">
      <c r="C2905" s="20"/>
    </row>
    <row r="2906" spans="3:3">
      <c r="C2906" s="20"/>
    </row>
    <row r="2907" spans="3:3">
      <c r="C2907" s="20"/>
    </row>
    <row r="2908" spans="3:3">
      <c r="C2908" s="20"/>
    </row>
    <row r="2909" spans="3:3">
      <c r="C2909" s="20"/>
    </row>
    <row r="2910" spans="3:3">
      <c r="C2910" s="20"/>
    </row>
    <row r="2911" spans="3:3">
      <c r="C2911" s="20"/>
    </row>
    <row r="2912" spans="3:3">
      <c r="C2912" s="20"/>
    </row>
    <row r="2913" spans="3:3">
      <c r="C2913" s="20"/>
    </row>
    <row r="2914" spans="3:3">
      <c r="C2914" s="20"/>
    </row>
    <row r="2915" spans="3:3">
      <c r="C2915" s="20"/>
    </row>
    <row r="2916" spans="3:3">
      <c r="C2916" s="20"/>
    </row>
    <row r="2917" spans="3:3">
      <c r="C2917" s="20"/>
    </row>
    <row r="2918" spans="3:3">
      <c r="C2918" s="20"/>
    </row>
    <row r="2919" spans="3:3">
      <c r="C2919" s="20"/>
    </row>
    <row r="2920" spans="3:3">
      <c r="C2920" s="20"/>
    </row>
    <row r="2921" spans="3:3">
      <c r="C2921" s="20"/>
    </row>
    <row r="2922" spans="3:3">
      <c r="C2922" s="20"/>
    </row>
    <row r="2923" spans="3:3">
      <c r="C2923" s="20"/>
    </row>
    <row r="2924" spans="3:3">
      <c r="C2924" s="20"/>
    </row>
    <row r="2925" spans="3:3">
      <c r="C2925" s="20"/>
    </row>
    <row r="2926" spans="3:3">
      <c r="C2926" s="20"/>
    </row>
    <row r="2927" spans="3:3">
      <c r="C2927" s="20"/>
    </row>
    <row r="2928" spans="3:3">
      <c r="C2928" s="20"/>
    </row>
    <row r="2929" spans="3:3">
      <c r="C2929" s="20"/>
    </row>
    <row r="2930" spans="3:3">
      <c r="C2930" s="20"/>
    </row>
    <row r="2931" spans="3:3">
      <c r="C2931" s="20"/>
    </row>
    <row r="2932" spans="3:3">
      <c r="C2932" s="20"/>
    </row>
    <row r="2933" spans="3:3">
      <c r="C2933" s="20"/>
    </row>
    <row r="2934" spans="3:3">
      <c r="C2934" s="20"/>
    </row>
    <row r="2935" spans="3:3">
      <c r="C2935" s="20"/>
    </row>
    <row r="2936" spans="3:3">
      <c r="C2936" s="20"/>
    </row>
    <row r="2937" spans="3:3">
      <c r="C2937" s="20"/>
    </row>
    <row r="2938" spans="3:3">
      <c r="C2938" s="20"/>
    </row>
    <row r="2939" spans="3:3">
      <c r="C2939" s="20"/>
    </row>
    <row r="2940" spans="3:3">
      <c r="C2940" s="20"/>
    </row>
    <row r="2941" spans="3:3">
      <c r="C2941" s="20"/>
    </row>
    <row r="2942" spans="3:3">
      <c r="C2942" s="20"/>
    </row>
    <row r="2943" spans="3:3">
      <c r="C2943" s="20"/>
    </row>
    <row r="2944" spans="3:3">
      <c r="C2944" s="20"/>
    </row>
    <row r="2945" spans="3:3">
      <c r="C2945" s="20"/>
    </row>
    <row r="2946" spans="3:3">
      <c r="C2946" s="20"/>
    </row>
    <row r="2947" spans="3:3">
      <c r="C2947" s="20"/>
    </row>
    <row r="2948" spans="3:3">
      <c r="C2948" s="20"/>
    </row>
    <row r="2949" spans="3:3">
      <c r="C2949" s="20"/>
    </row>
    <row r="2950" spans="3:3">
      <c r="C2950" s="20"/>
    </row>
    <row r="2951" spans="3:3">
      <c r="C2951" s="20"/>
    </row>
    <row r="2952" spans="3:3">
      <c r="C2952" s="20"/>
    </row>
    <row r="2953" spans="3:3">
      <c r="C2953" s="20"/>
    </row>
    <row r="2954" spans="3:3">
      <c r="C2954" s="20"/>
    </row>
    <row r="2955" spans="3:3">
      <c r="C2955" s="20"/>
    </row>
    <row r="2956" spans="3:3">
      <c r="C2956" s="20"/>
    </row>
    <row r="2957" spans="3:3">
      <c r="C2957" s="20"/>
    </row>
    <row r="2958" spans="3:3">
      <c r="C2958" s="20"/>
    </row>
    <row r="2959" spans="3:3">
      <c r="C2959" s="20"/>
    </row>
    <row r="2960" spans="3:3">
      <c r="C2960" s="20"/>
    </row>
    <row r="2961" spans="3:3">
      <c r="C2961" s="20"/>
    </row>
    <row r="2962" spans="3:3">
      <c r="C2962" s="20"/>
    </row>
    <row r="2963" spans="3:3">
      <c r="C2963" s="20"/>
    </row>
    <row r="2964" spans="3:3">
      <c r="C2964" s="20"/>
    </row>
    <row r="2965" spans="3:3">
      <c r="C2965" s="20"/>
    </row>
    <row r="2966" spans="3:3">
      <c r="C2966" s="20"/>
    </row>
    <row r="2967" spans="3:3">
      <c r="C2967" s="20"/>
    </row>
    <row r="2968" spans="3:3">
      <c r="C2968" s="20"/>
    </row>
    <row r="2969" spans="3:3">
      <c r="C2969" s="20"/>
    </row>
    <row r="2970" spans="3:3">
      <c r="C2970" s="20"/>
    </row>
    <row r="2971" spans="3:3">
      <c r="C2971" s="20"/>
    </row>
    <row r="2972" spans="3:3">
      <c r="C2972" s="20"/>
    </row>
    <row r="2973" spans="3:3">
      <c r="C2973" s="20"/>
    </row>
    <row r="2974" spans="3:3">
      <c r="C2974" s="20"/>
    </row>
    <row r="2975" spans="3:3">
      <c r="C2975" s="20"/>
    </row>
    <row r="2976" spans="3:3">
      <c r="C2976" s="20"/>
    </row>
    <row r="2977" spans="3:3">
      <c r="C2977" s="20"/>
    </row>
    <row r="2978" spans="3:3">
      <c r="C2978" s="20"/>
    </row>
    <row r="2979" spans="3:3">
      <c r="C2979" s="20"/>
    </row>
    <row r="2980" spans="3:3">
      <c r="C2980" s="20"/>
    </row>
    <row r="2981" spans="3:3">
      <c r="C2981" s="20"/>
    </row>
    <row r="2982" spans="3:3">
      <c r="C2982" s="20"/>
    </row>
    <row r="2983" spans="3:3">
      <c r="C2983" s="20"/>
    </row>
    <row r="2984" spans="3:3">
      <c r="C2984" s="20"/>
    </row>
    <row r="2985" spans="3:3">
      <c r="C2985" s="20"/>
    </row>
    <row r="2986" spans="3:3">
      <c r="C2986" s="20"/>
    </row>
    <row r="2987" spans="3:3">
      <c r="C2987" s="20"/>
    </row>
    <row r="2988" spans="3:3">
      <c r="C2988" s="20"/>
    </row>
    <row r="2989" spans="3:3">
      <c r="C2989" s="20"/>
    </row>
    <row r="2990" spans="3:3">
      <c r="C2990" s="20"/>
    </row>
    <row r="2991" spans="3:3">
      <c r="C2991" s="20"/>
    </row>
    <row r="2992" spans="3:3">
      <c r="C2992" s="20"/>
    </row>
    <row r="2993" spans="3:3">
      <c r="C2993" s="20"/>
    </row>
    <row r="2994" spans="3:3">
      <c r="C2994" s="20"/>
    </row>
    <row r="2995" spans="3:3">
      <c r="C2995" s="20"/>
    </row>
    <row r="2996" spans="3:3">
      <c r="C2996" s="20"/>
    </row>
    <row r="2997" spans="3:3">
      <c r="C2997" s="20"/>
    </row>
    <row r="2998" spans="3:3">
      <c r="C2998" s="20"/>
    </row>
    <row r="2999" spans="3:3">
      <c r="C2999" s="20"/>
    </row>
    <row r="3000" spans="3:3">
      <c r="C3000" s="20"/>
    </row>
    <row r="3001" spans="3:3">
      <c r="C3001" s="20"/>
    </row>
    <row r="3002" spans="3:3">
      <c r="C3002" s="20"/>
    </row>
    <row r="3003" spans="3:3">
      <c r="C3003" s="20"/>
    </row>
    <row r="3004" spans="3:3">
      <c r="C3004" s="20"/>
    </row>
    <row r="3005" spans="3:3">
      <c r="C3005" s="20"/>
    </row>
    <row r="3006" spans="3:3">
      <c r="C3006" s="20"/>
    </row>
    <row r="3007" spans="3:3">
      <c r="C3007" s="20"/>
    </row>
    <row r="3008" spans="3:3">
      <c r="C3008" s="20"/>
    </row>
    <row r="3009" spans="3:3">
      <c r="C3009" s="20"/>
    </row>
    <row r="3010" spans="3:3">
      <c r="C3010" s="20"/>
    </row>
    <row r="3011" spans="3:3">
      <c r="C3011" s="20"/>
    </row>
    <row r="3012" spans="3:3">
      <c r="C3012" s="20"/>
    </row>
    <row r="3013" spans="3:3">
      <c r="C3013" s="20"/>
    </row>
    <row r="3014" spans="3:3">
      <c r="C3014" s="20"/>
    </row>
    <row r="3015" spans="3:3">
      <c r="C3015" s="20"/>
    </row>
    <row r="3016" spans="3:3">
      <c r="C3016" s="20"/>
    </row>
    <row r="3017" spans="3:3">
      <c r="C3017" s="20"/>
    </row>
    <row r="3018" spans="3:3">
      <c r="C3018" s="20"/>
    </row>
    <row r="3019" spans="3:3">
      <c r="C3019" s="20"/>
    </row>
    <row r="3020" spans="3:3">
      <c r="C3020" s="20"/>
    </row>
    <row r="3021" spans="3:3">
      <c r="C3021" s="20"/>
    </row>
    <row r="3022" spans="3:3">
      <c r="C3022" s="20"/>
    </row>
    <row r="3023" spans="3:3">
      <c r="C3023" s="20"/>
    </row>
    <row r="3024" spans="3:3">
      <c r="C3024" s="20"/>
    </row>
    <row r="3025" spans="3:3">
      <c r="C3025" s="20"/>
    </row>
    <row r="3026" spans="3:3">
      <c r="C3026" s="20"/>
    </row>
    <row r="3027" spans="3:3">
      <c r="C3027" s="20"/>
    </row>
    <row r="3028" spans="3:3">
      <c r="C3028" s="20"/>
    </row>
    <row r="3029" spans="3:3">
      <c r="C3029" s="20"/>
    </row>
    <row r="3030" spans="3:3">
      <c r="C3030" s="20"/>
    </row>
    <row r="3031" spans="3:3">
      <c r="C3031" s="20"/>
    </row>
    <row r="3032" spans="3:3">
      <c r="C3032" s="20"/>
    </row>
    <row r="3033" spans="3:3">
      <c r="C3033" s="20"/>
    </row>
    <row r="3034" spans="3:3">
      <c r="C3034" s="20"/>
    </row>
    <row r="3035" spans="3:3">
      <c r="C3035" s="20"/>
    </row>
    <row r="3036" spans="3:3">
      <c r="C3036" s="20"/>
    </row>
    <row r="3037" spans="3:3">
      <c r="C3037" s="20"/>
    </row>
    <row r="3038" spans="3:3">
      <c r="C3038" s="20"/>
    </row>
    <row r="3039" spans="3:3">
      <c r="C3039" s="20"/>
    </row>
    <row r="3040" spans="3:3">
      <c r="C3040" s="20"/>
    </row>
    <row r="3041" spans="3:3">
      <c r="C3041" s="20"/>
    </row>
    <row r="3042" spans="3:3">
      <c r="C3042" s="20"/>
    </row>
    <row r="3043" spans="3:3">
      <c r="C3043" s="20"/>
    </row>
    <row r="3044" spans="3:3">
      <c r="C3044" s="20"/>
    </row>
    <row r="3045" spans="3:3">
      <c r="C3045" s="20"/>
    </row>
    <row r="3046" spans="3:3">
      <c r="C3046" s="20"/>
    </row>
    <row r="3047" spans="3:3">
      <c r="C3047" s="20"/>
    </row>
    <row r="3048" spans="3:3">
      <c r="C3048" s="20"/>
    </row>
    <row r="3049" spans="3:3">
      <c r="C3049" s="20"/>
    </row>
    <row r="3050" spans="3:3">
      <c r="C3050" s="20"/>
    </row>
    <row r="3051" spans="3:3">
      <c r="C3051" s="20"/>
    </row>
    <row r="3052" spans="3:3">
      <c r="C3052" s="20"/>
    </row>
    <row r="3053" spans="3:3">
      <c r="C3053" s="20"/>
    </row>
    <row r="3054" spans="3:3">
      <c r="C3054" s="20"/>
    </row>
    <row r="3055" spans="3:3">
      <c r="C3055" s="20"/>
    </row>
    <row r="3056" spans="3:3">
      <c r="C3056" s="20"/>
    </row>
    <row r="3057" spans="3:3">
      <c r="C3057" s="20"/>
    </row>
    <row r="3058" spans="3:3">
      <c r="C3058" s="20"/>
    </row>
    <row r="3059" spans="3:3">
      <c r="C3059" s="20"/>
    </row>
    <row r="3060" spans="3:3">
      <c r="C3060" s="20"/>
    </row>
    <row r="3061" spans="3:3">
      <c r="C3061" s="20"/>
    </row>
    <row r="3062" spans="3:3">
      <c r="C3062" s="20"/>
    </row>
    <row r="3063" spans="3:3">
      <c r="C3063" s="20"/>
    </row>
    <row r="3064" spans="3:3">
      <c r="C3064" s="20"/>
    </row>
    <row r="3065" spans="3:3">
      <c r="C3065" s="20"/>
    </row>
    <row r="3066" spans="3:3">
      <c r="C3066" s="20"/>
    </row>
    <row r="3067" spans="3:3">
      <c r="C3067" s="20"/>
    </row>
    <row r="3068" spans="3:3">
      <c r="C3068" s="20"/>
    </row>
    <row r="3069" spans="3:3">
      <c r="C3069" s="20"/>
    </row>
    <row r="3070" spans="3:3">
      <c r="C3070" s="20"/>
    </row>
    <row r="3071" spans="3:3">
      <c r="C3071" s="20"/>
    </row>
    <row r="3072" spans="3:3">
      <c r="C3072" s="20"/>
    </row>
    <row r="3073" spans="3:3">
      <c r="C3073" s="20"/>
    </row>
    <row r="3074" spans="3:3">
      <c r="C3074" s="20"/>
    </row>
    <row r="3075" spans="3:3">
      <c r="C3075" s="20"/>
    </row>
    <row r="3076" spans="3:3">
      <c r="C3076" s="20"/>
    </row>
    <row r="3077" spans="3:3">
      <c r="C3077" s="20"/>
    </row>
    <row r="3078" spans="3:3">
      <c r="C3078" s="20"/>
    </row>
    <row r="3079" spans="3:3">
      <c r="C3079" s="20"/>
    </row>
    <row r="3080" spans="3:3">
      <c r="C3080" s="20"/>
    </row>
    <row r="3081" spans="3:3">
      <c r="C3081" s="20"/>
    </row>
    <row r="3082" spans="3:3">
      <c r="C3082" s="20"/>
    </row>
    <row r="3083" spans="3:3">
      <c r="C3083" s="20"/>
    </row>
    <row r="3084" spans="3:3">
      <c r="C3084" s="20"/>
    </row>
    <row r="3085" spans="3:3">
      <c r="C3085" s="20"/>
    </row>
    <row r="3086" spans="3:3">
      <c r="C3086" s="20"/>
    </row>
    <row r="3087" spans="3:3">
      <c r="C3087" s="20"/>
    </row>
    <row r="3088" spans="3:3">
      <c r="C3088" s="20"/>
    </row>
    <row r="3089" spans="3:3">
      <c r="C3089" s="20"/>
    </row>
    <row r="3090" spans="3:3">
      <c r="C3090" s="20"/>
    </row>
    <row r="3091" spans="3:3">
      <c r="C3091" s="20"/>
    </row>
    <row r="3092" spans="3:3">
      <c r="C3092" s="20"/>
    </row>
    <row r="3093" spans="3:3">
      <c r="C3093" s="20"/>
    </row>
    <row r="3094" spans="3:3">
      <c r="C3094" s="20"/>
    </row>
    <row r="3095" spans="3:3">
      <c r="C3095" s="20"/>
    </row>
    <row r="3096" spans="3:3">
      <c r="C3096" s="20"/>
    </row>
    <row r="3097" spans="3:3">
      <c r="C3097" s="20"/>
    </row>
    <row r="3098" spans="3:3">
      <c r="C3098" s="20"/>
    </row>
    <row r="3099" spans="3:3">
      <c r="C3099" s="20"/>
    </row>
    <row r="3100" spans="3:3">
      <c r="C3100" s="20"/>
    </row>
    <row r="3101" spans="3:3">
      <c r="C3101" s="20"/>
    </row>
    <row r="3102" spans="3:3">
      <c r="C3102" s="20"/>
    </row>
    <row r="3103" spans="3:3">
      <c r="C3103" s="20"/>
    </row>
    <row r="3104" spans="3:3">
      <c r="C3104" s="20"/>
    </row>
    <row r="3105" spans="3:3">
      <c r="C3105" s="20"/>
    </row>
    <row r="3106" spans="3:3">
      <c r="C3106" s="20"/>
    </row>
    <row r="3107" spans="3:3">
      <c r="C3107" s="20"/>
    </row>
    <row r="3108" spans="3:3">
      <c r="C3108" s="20"/>
    </row>
    <row r="3109" spans="3:3">
      <c r="C3109" s="20"/>
    </row>
    <row r="3110" spans="3:3">
      <c r="C3110" s="20"/>
    </row>
    <row r="3111" spans="3:3">
      <c r="C3111" s="20"/>
    </row>
    <row r="3112" spans="3:3">
      <c r="C3112" s="20"/>
    </row>
    <row r="3113" spans="3:3">
      <c r="C3113" s="20"/>
    </row>
    <row r="3114" spans="3:3">
      <c r="C3114" s="20"/>
    </row>
    <row r="3115" spans="3:3">
      <c r="C3115" s="20"/>
    </row>
    <row r="3116" spans="3:3">
      <c r="C3116" s="20"/>
    </row>
    <row r="3117" spans="3:3">
      <c r="C3117" s="20"/>
    </row>
    <row r="3118" spans="3:3">
      <c r="C3118" s="20"/>
    </row>
    <row r="3119" spans="3:3">
      <c r="C3119" s="20"/>
    </row>
    <row r="3120" spans="3:3">
      <c r="C3120" s="20"/>
    </row>
    <row r="3121" spans="3:3">
      <c r="C3121" s="20"/>
    </row>
    <row r="3122" spans="3:3">
      <c r="C3122" s="20"/>
    </row>
    <row r="3123" spans="3:3">
      <c r="C3123" s="20"/>
    </row>
    <row r="3124" spans="3:3">
      <c r="C3124" s="20"/>
    </row>
    <row r="3125" spans="3:3">
      <c r="C3125" s="20"/>
    </row>
    <row r="3126" spans="3:3">
      <c r="C3126" s="20"/>
    </row>
    <row r="3127" spans="3:3">
      <c r="C3127" s="20"/>
    </row>
    <row r="3128" spans="3:3">
      <c r="C3128" s="20"/>
    </row>
    <row r="3129" spans="3:3">
      <c r="C3129" s="20"/>
    </row>
    <row r="3130" spans="3:3">
      <c r="C3130" s="20"/>
    </row>
    <row r="3131" spans="3:3">
      <c r="C3131" s="20"/>
    </row>
    <row r="3132" spans="3:3">
      <c r="C3132" s="20"/>
    </row>
    <row r="3133" spans="3:3">
      <c r="C3133" s="20"/>
    </row>
    <row r="3134" spans="3:3">
      <c r="C3134" s="20"/>
    </row>
    <row r="3135" spans="3:3">
      <c r="C3135" s="20"/>
    </row>
    <row r="3136" spans="3:3">
      <c r="C3136" s="20"/>
    </row>
    <row r="3137" spans="3:3">
      <c r="C3137" s="20"/>
    </row>
    <row r="3138" spans="3:3">
      <c r="C3138" s="20"/>
    </row>
    <row r="3139" spans="3:3">
      <c r="C3139" s="20"/>
    </row>
    <row r="3140" spans="3:3">
      <c r="C3140" s="20"/>
    </row>
    <row r="3141" spans="3:3">
      <c r="C3141" s="20"/>
    </row>
    <row r="3142" spans="3:3">
      <c r="C3142" s="20"/>
    </row>
    <row r="3143" spans="3:3">
      <c r="C3143" s="20"/>
    </row>
    <row r="3144" spans="3:3">
      <c r="C3144" s="20"/>
    </row>
    <row r="3145" spans="3:3">
      <c r="C3145" s="20"/>
    </row>
    <row r="3146" spans="3:3">
      <c r="C3146" s="20"/>
    </row>
    <row r="3147" spans="3:3">
      <c r="C3147" s="20"/>
    </row>
    <row r="3148" spans="3:3">
      <c r="C3148" s="20"/>
    </row>
    <row r="3149" spans="3:3">
      <c r="C3149" s="20"/>
    </row>
    <row r="3150" spans="3:3">
      <c r="C3150" s="20"/>
    </row>
    <row r="3151" spans="3:3">
      <c r="C3151" s="20"/>
    </row>
    <row r="3152" spans="3:3">
      <c r="C3152" s="20"/>
    </row>
    <row r="3153" spans="3:3">
      <c r="C3153" s="20"/>
    </row>
    <row r="3154" spans="3:3">
      <c r="C3154" s="20"/>
    </row>
    <row r="3155" spans="3:3">
      <c r="C3155" s="20"/>
    </row>
    <row r="3156" spans="3:3">
      <c r="C3156" s="20"/>
    </row>
    <row r="3157" spans="3:3">
      <c r="C3157" s="20"/>
    </row>
    <row r="3158" spans="3:3">
      <c r="C3158" s="20"/>
    </row>
    <row r="3159" spans="3:3">
      <c r="C3159" s="20"/>
    </row>
    <row r="3160" spans="3:3">
      <c r="C3160" s="20"/>
    </row>
    <row r="3161" spans="3:3">
      <c r="C3161" s="20"/>
    </row>
    <row r="3162" spans="3:3">
      <c r="C3162" s="20"/>
    </row>
    <row r="3163" spans="3:3">
      <c r="C3163" s="20"/>
    </row>
    <row r="3164" spans="3:3">
      <c r="C3164" s="20"/>
    </row>
    <row r="3165" spans="3:3">
      <c r="C3165" s="20"/>
    </row>
    <row r="3166" spans="3:3">
      <c r="C3166" s="20"/>
    </row>
    <row r="3167" spans="3:3">
      <c r="C3167" s="20"/>
    </row>
    <row r="3168" spans="3:3">
      <c r="C3168" s="20"/>
    </row>
    <row r="3169" spans="3:3">
      <c r="C3169" s="20"/>
    </row>
    <row r="3170" spans="3:3">
      <c r="C3170" s="20"/>
    </row>
    <row r="3171" spans="3:3">
      <c r="C3171" s="20"/>
    </row>
    <row r="3172" spans="3:3">
      <c r="C3172" s="20"/>
    </row>
    <row r="3173" spans="3:3">
      <c r="C3173" s="20"/>
    </row>
    <row r="3174" spans="3:3">
      <c r="C3174" s="20"/>
    </row>
    <row r="3175" spans="3:3">
      <c r="C3175" s="20"/>
    </row>
    <row r="3176" spans="3:3">
      <c r="C3176" s="20"/>
    </row>
    <row r="3177" spans="3:3">
      <c r="C3177" s="20"/>
    </row>
    <row r="3178" spans="3:3">
      <c r="C3178" s="20"/>
    </row>
    <row r="3179" spans="3:3">
      <c r="C3179" s="20"/>
    </row>
    <row r="3180" spans="3:3">
      <c r="C3180" s="20"/>
    </row>
    <row r="3181" spans="3:3">
      <c r="C3181" s="20"/>
    </row>
    <row r="3182" spans="3:3">
      <c r="C3182" s="20"/>
    </row>
    <row r="3183" spans="3:3">
      <c r="C3183" s="20"/>
    </row>
    <row r="3184" spans="3:3">
      <c r="C3184" s="20"/>
    </row>
    <row r="3185" spans="3:3">
      <c r="C3185" s="20"/>
    </row>
    <row r="3186" spans="3:3">
      <c r="C3186" s="20"/>
    </row>
    <row r="3187" spans="3:3">
      <c r="C3187" s="20"/>
    </row>
    <row r="3188" spans="3:3">
      <c r="C3188" s="20"/>
    </row>
    <row r="3189" spans="3:3">
      <c r="C3189" s="20"/>
    </row>
    <row r="3190" spans="3:3">
      <c r="C3190" s="20"/>
    </row>
    <row r="3191" spans="3:3">
      <c r="C3191" s="20"/>
    </row>
    <row r="3192" spans="3:3">
      <c r="C3192" s="20"/>
    </row>
    <row r="3193" spans="3:3">
      <c r="C3193" s="20"/>
    </row>
    <row r="3194" spans="3:3">
      <c r="C3194" s="20"/>
    </row>
    <row r="3195" spans="3:3">
      <c r="C3195" s="20"/>
    </row>
    <row r="3196" spans="3:3">
      <c r="C3196" s="20"/>
    </row>
    <row r="3197" spans="3:3">
      <c r="C3197" s="20"/>
    </row>
    <row r="3198" spans="3:3">
      <c r="C3198" s="20"/>
    </row>
    <row r="3199" spans="3:3">
      <c r="C3199" s="20"/>
    </row>
    <row r="3200" spans="3:3">
      <c r="C3200" s="20"/>
    </row>
    <row r="3201" spans="3:3">
      <c r="C3201" s="20"/>
    </row>
    <row r="3202" spans="3:3">
      <c r="C3202" s="20"/>
    </row>
    <row r="3203" spans="3:3">
      <c r="C3203" s="20"/>
    </row>
    <row r="3204" spans="3:3">
      <c r="C3204" s="20"/>
    </row>
    <row r="3205" spans="3:3">
      <c r="C3205" s="20"/>
    </row>
    <row r="3206" spans="3:3">
      <c r="C3206" s="20"/>
    </row>
    <row r="3207" spans="3:3">
      <c r="C3207" s="20"/>
    </row>
    <row r="3208" spans="3:3">
      <c r="C3208" s="20"/>
    </row>
    <row r="3209" spans="3:3">
      <c r="C3209" s="20"/>
    </row>
    <row r="3210" spans="3:3">
      <c r="C3210" s="20"/>
    </row>
    <row r="3211" spans="3:3">
      <c r="C3211" s="20"/>
    </row>
    <row r="3212" spans="3:3">
      <c r="C3212" s="20"/>
    </row>
    <row r="3213" spans="3:3">
      <c r="C3213" s="20"/>
    </row>
    <row r="3214" spans="3:3">
      <c r="C3214" s="20"/>
    </row>
    <row r="3215" spans="3:3">
      <c r="C3215" s="20"/>
    </row>
    <row r="3216" spans="3:3">
      <c r="C3216" s="20"/>
    </row>
    <row r="3217" spans="3:3">
      <c r="C3217" s="20"/>
    </row>
    <row r="3218" spans="3:3">
      <c r="C3218" s="20"/>
    </row>
    <row r="3219" spans="3:3">
      <c r="C3219" s="20"/>
    </row>
    <row r="3220" spans="3:3">
      <c r="C3220" s="20"/>
    </row>
    <row r="3221" spans="3:3">
      <c r="C3221" s="20"/>
    </row>
    <row r="3222" spans="3:3">
      <c r="C3222" s="20"/>
    </row>
    <row r="3223" spans="3:3">
      <c r="C3223" s="20"/>
    </row>
    <row r="3224" spans="3:3">
      <c r="C3224" s="20"/>
    </row>
    <row r="3225" spans="3:3">
      <c r="C3225" s="20"/>
    </row>
    <row r="3226" spans="3:3">
      <c r="C3226" s="20"/>
    </row>
    <row r="3227" spans="3:3">
      <c r="C3227" s="20"/>
    </row>
    <row r="3228" spans="3:3">
      <c r="C3228" s="20"/>
    </row>
    <row r="3229" spans="3:3">
      <c r="C3229" s="20"/>
    </row>
    <row r="3230" spans="3:3">
      <c r="C3230" s="20"/>
    </row>
    <row r="3231" spans="3:3">
      <c r="C3231" s="20"/>
    </row>
    <row r="3232" spans="3:3">
      <c r="C3232" s="20"/>
    </row>
    <row r="3233" spans="3:3">
      <c r="C3233" s="20"/>
    </row>
    <row r="3234" spans="3:3">
      <c r="C3234" s="20"/>
    </row>
    <row r="3235" spans="3:3">
      <c r="C3235" s="20"/>
    </row>
    <row r="3236" spans="3:3">
      <c r="C3236" s="20"/>
    </row>
    <row r="3237" spans="3:3">
      <c r="C3237" s="20"/>
    </row>
    <row r="3238" spans="3:3">
      <c r="C3238" s="20"/>
    </row>
    <row r="3239" spans="3:3">
      <c r="C3239" s="20"/>
    </row>
    <row r="3240" spans="3:3">
      <c r="C3240" s="20"/>
    </row>
    <row r="3241" spans="3:3">
      <c r="C3241" s="20"/>
    </row>
    <row r="3242" spans="3:3">
      <c r="C3242" s="20"/>
    </row>
    <row r="3243" spans="3:3">
      <c r="C3243" s="20"/>
    </row>
    <row r="3244" spans="3:3">
      <c r="C3244" s="20"/>
    </row>
    <row r="3245" spans="3:3">
      <c r="C3245" s="20"/>
    </row>
    <row r="3246" spans="3:3">
      <c r="C3246" s="20"/>
    </row>
    <row r="3247" spans="3:3">
      <c r="C3247" s="20"/>
    </row>
    <row r="3248" spans="3:3">
      <c r="C3248" s="20"/>
    </row>
    <row r="3249" spans="3:3">
      <c r="C3249" s="20"/>
    </row>
    <row r="3250" spans="3:3">
      <c r="C3250" s="20"/>
    </row>
    <row r="3251" spans="3:3">
      <c r="C3251" s="20"/>
    </row>
    <row r="3252" spans="3:3">
      <c r="C3252" s="20"/>
    </row>
    <row r="3253" spans="3:3">
      <c r="C3253" s="20"/>
    </row>
    <row r="3254" spans="3:3">
      <c r="C3254" s="20"/>
    </row>
    <row r="3255" spans="3:3">
      <c r="C3255" s="20"/>
    </row>
    <row r="3256" spans="3:3">
      <c r="C3256" s="20"/>
    </row>
    <row r="3257" spans="3:3">
      <c r="C3257" s="20"/>
    </row>
    <row r="3258" spans="3:3">
      <c r="C3258" s="20"/>
    </row>
    <row r="3259" spans="3:3">
      <c r="C3259" s="20"/>
    </row>
    <row r="3260" spans="3:3">
      <c r="C3260" s="20"/>
    </row>
    <row r="3261" spans="3:3">
      <c r="C3261" s="20"/>
    </row>
    <row r="3262" spans="3:3">
      <c r="C3262" s="20"/>
    </row>
    <row r="3263" spans="3:3">
      <c r="C3263" s="20"/>
    </row>
    <row r="3264" spans="3:3">
      <c r="C3264" s="20"/>
    </row>
    <row r="3265" spans="3:3">
      <c r="C3265" s="20"/>
    </row>
    <row r="3266" spans="3:3">
      <c r="C3266" s="20"/>
    </row>
    <row r="3267" spans="3:3">
      <c r="C3267" s="20"/>
    </row>
    <row r="3268" spans="3:3">
      <c r="C3268" s="20"/>
    </row>
    <row r="3269" spans="3:3">
      <c r="C3269" s="20"/>
    </row>
    <row r="3270" spans="3:3">
      <c r="C3270" s="20"/>
    </row>
    <row r="3271" spans="3:3">
      <c r="C3271" s="20"/>
    </row>
    <row r="3272" spans="3:3">
      <c r="C3272" s="20"/>
    </row>
    <row r="3273" spans="3:3">
      <c r="C3273" s="20"/>
    </row>
    <row r="3274" spans="3:3">
      <c r="C3274" s="20"/>
    </row>
    <row r="3275" spans="3:3">
      <c r="C3275" s="20"/>
    </row>
    <row r="3276" spans="3:3">
      <c r="C3276" s="20"/>
    </row>
    <row r="3277" spans="3:3">
      <c r="C3277" s="20"/>
    </row>
    <row r="3278" spans="3:3">
      <c r="C3278" s="20"/>
    </row>
    <row r="3279" spans="3:3">
      <c r="C3279" s="20"/>
    </row>
    <row r="3280" spans="3:3">
      <c r="C3280" s="20"/>
    </row>
    <row r="3281" spans="3:3">
      <c r="C3281" s="20"/>
    </row>
    <row r="3282" spans="3:3">
      <c r="C3282" s="20"/>
    </row>
    <row r="3283" spans="3:3">
      <c r="C3283" s="20"/>
    </row>
    <row r="3284" spans="3:3">
      <c r="C3284" s="20"/>
    </row>
    <row r="3285" spans="3:3">
      <c r="C3285" s="20"/>
    </row>
    <row r="3286" spans="3:3">
      <c r="C3286" s="20"/>
    </row>
    <row r="3287" spans="3:3">
      <c r="C3287" s="20"/>
    </row>
    <row r="3288" spans="3:3">
      <c r="C3288" s="20"/>
    </row>
    <row r="3289" spans="3:3">
      <c r="C3289" s="20"/>
    </row>
    <row r="3290" spans="3:3">
      <c r="C3290" s="20"/>
    </row>
    <row r="3291" spans="3:3">
      <c r="C3291" s="20"/>
    </row>
    <row r="3292" spans="3:3">
      <c r="C3292" s="20"/>
    </row>
    <row r="3293" spans="3:3">
      <c r="C3293" s="20"/>
    </row>
    <row r="3294" spans="3:3">
      <c r="C3294" s="20"/>
    </row>
    <row r="3295" spans="3:3">
      <c r="C3295" s="20"/>
    </row>
    <row r="3296" spans="3:3">
      <c r="C3296" s="20"/>
    </row>
    <row r="3297" spans="3:3">
      <c r="C3297" s="20"/>
    </row>
    <row r="3298" spans="3:3">
      <c r="C3298" s="20"/>
    </row>
    <row r="3299" spans="3:3">
      <c r="C3299" s="20"/>
    </row>
    <row r="3300" spans="3:3">
      <c r="C3300" s="20"/>
    </row>
    <row r="3301" spans="3:3">
      <c r="C3301" s="20"/>
    </row>
    <row r="3302" spans="3:3">
      <c r="C3302" s="20"/>
    </row>
    <row r="3303" spans="3:3">
      <c r="C3303" s="20"/>
    </row>
    <row r="3304" spans="3:3">
      <c r="C3304" s="20"/>
    </row>
    <row r="3305" spans="3:3">
      <c r="C3305" s="20"/>
    </row>
    <row r="3306" spans="3:3">
      <c r="C3306" s="20"/>
    </row>
    <row r="3307" spans="3:3">
      <c r="C3307" s="20"/>
    </row>
    <row r="3308" spans="3:3">
      <c r="C3308" s="20"/>
    </row>
    <row r="3309" spans="3:3">
      <c r="C3309" s="20"/>
    </row>
    <row r="3310" spans="3:3">
      <c r="C3310" s="20"/>
    </row>
    <row r="3311" spans="3:3">
      <c r="C3311" s="20"/>
    </row>
    <row r="3312" spans="3:3">
      <c r="C3312" s="20"/>
    </row>
    <row r="3313" spans="3:3">
      <c r="C3313" s="20"/>
    </row>
    <row r="3314" spans="3:3">
      <c r="C3314" s="20"/>
    </row>
    <row r="3315" spans="3:3">
      <c r="C3315" s="20"/>
    </row>
    <row r="3316" spans="3:3">
      <c r="C3316" s="20"/>
    </row>
    <row r="3317" spans="3:3">
      <c r="C3317" s="20"/>
    </row>
    <row r="3318" spans="3:3">
      <c r="C3318" s="20"/>
    </row>
    <row r="3319" spans="3:3">
      <c r="C3319" s="20"/>
    </row>
    <row r="3320" spans="3:3">
      <c r="C3320" s="20"/>
    </row>
    <row r="3321" spans="3:3">
      <c r="C3321" s="20"/>
    </row>
    <row r="3322" spans="3:3">
      <c r="C3322" s="20"/>
    </row>
    <row r="3323" spans="3:3">
      <c r="C3323" s="20"/>
    </row>
    <row r="3324" spans="3:3">
      <c r="C3324" s="20"/>
    </row>
    <row r="3325" spans="3:3">
      <c r="C3325" s="20"/>
    </row>
    <row r="3326" spans="3:3">
      <c r="C3326" s="20"/>
    </row>
    <row r="3327" spans="3:3">
      <c r="C3327" s="20"/>
    </row>
    <row r="3328" spans="3:3">
      <c r="C3328" s="20"/>
    </row>
    <row r="3329" spans="3:3">
      <c r="C3329" s="20"/>
    </row>
    <row r="3330" spans="3:3">
      <c r="C3330" s="20"/>
    </row>
    <row r="3331" spans="3:3">
      <c r="C3331" s="20"/>
    </row>
    <row r="3332" spans="3:3">
      <c r="C3332" s="20"/>
    </row>
    <row r="3333" spans="3:3">
      <c r="C3333" s="20"/>
    </row>
    <row r="3334" spans="3:3">
      <c r="C3334" s="20"/>
    </row>
    <row r="3335" spans="3:3">
      <c r="C3335" s="20"/>
    </row>
    <row r="3336" spans="3:3">
      <c r="C3336" s="20"/>
    </row>
    <row r="3337" spans="3:3">
      <c r="C3337" s="20"/>
    </row>
    <row r="3338" spans="3:3">
      <c r="C3338" s="20"/>
    </row>
    <row r="3339" spans="3:3">
      <c r="C3339" s="20"/>
    </row>
    <row r="3340" spans="3:3">
      <c r="C3340" s="20"/>
    </row>
    <row r="3341" spans="3:3">
      <c r="C3341" s="20"/>
    </row>
    <row r="3342" spans="3:3">
      <c r="C3342" s="20"/>
    </row>
    <row r="3343" spans="3:3">
      <c r="C3343" s="20"/>
    </row>
    <row r="3344" spans="3:3">
      <c r="C3344" s="20"/>
    </row>
    <row r="3345" spans="3:3">
      <c r="C3345" s="20"/>
    </row>
    <row r="3346" spans="3:3">
      <c r="C3346" s="20"/>
    </row>
    <row r="3347" spans="3:3">
      <c r="C3347" s="20"/>
    </row>
    <row r="3348" spans="3:3">
      <c r="C3348" s="20"/>
    </row>
    <row r="3349" spans="3:3">
      <c r="C3349" s="20"/>
    </row>
    <row r="3350" spans="3:3">
      <c r="C3350" s="20"/>
    </row>
    <row r="3351" spans="3:3">
      <c r="C3351" s="20"/>
    </row>
    <row r="3352" spans="3:3">
      <c r="C3352" s="20"/>
    </row>
    <row r="3353" spans="3:3">
      <c r="C3353" s="20"/>
    </row>
    <row r="3354" spans="3:3">
      <c r="C3354" s="20"/>
    </row>
    <row r="3355" spans="3:3">
      <c r="C3355" s="20"/>
    </row>
    <row r="3356" spans="3:3">
      <c r="C3356" s="20"/>
    </row>
    <row r="3357" spans="3:3">
      <c r="C3357" s="20"/>
    </row>
    <row r="3358" spans="3:3">
      <c r="C3358" s="20"/>
    </row>
    <row r="3359" spans="3:3">
      <c r="C3359" s="20"/>
    </row>
    <row r="3360" spans="3:3">
      <c r="C3360" s="20"/>
    </row>
    <row r="3361" spans="3:3">
      <c r="C3361" s="20"/>
    </row>
    <row r="3362" spans="3:3">
      <c r="C3362" s="20"/>
    </row>
    <row r="3363" spans="3:3">
      <c r="C3363" s="20"/>
    </row>
    <row r="3364" spans="3:3">
      <c r="C3364" s="20"/>
    </row>
    <row r="3365" spans="3:3">
      <c r="C3365" s="20"/>
    </row>
    <row r="3366" spans="3:3">
      <c r="C3366" s="20"/>
    </row>
    <row r="3367" spans="3:3">
      <c r="C3367" s="20"/>
    </row>
    <row r="3368" spans="3:3">
      <c r="C3368" s="20"/>
    </row>
    <row r="3369" spans="3:3">
      <c r="C3369" s="20"/>
    </row>
    <row r="3370" spans="3:3">
      <c r="C3370" s="20"/>
    </row>
    <row r="3371" spans="3:3">
      <c r="C3371" s="20"/>
    </row>
    <row r="3372" spans="3:3">
      <c r="C3372" s="20"/>
    </row>
    <row r="3373" spans="3:3">
      <c r="C3373" s="20"/>
    </row>
    <row r="3374" spans="3:3">
      <c r="C3374" s="20"/>
    </row>
    <row r="3375" spans="3:3">
      <c r="C3375" s="20"/>
    </row>
    <row r="3376" spans="3:3">
      <c r="C3376" s="20"/>
    </row>
    <row r="3377" spans="3:3">
      <c r="C3377" s="20"/>
    </row>
    <row r="3378" spans="3:3">
      <c r="C3378" s="20"/>
    </row>
    <row r="3379" spans="3:3">
      <c r="C3379" s="20"/>
    </row>
    <row r="3380" spans="3:3">
      <c r="C3380" s="20"/>
    </row>
    <row r="3381" spans="3:3">
      <c r="C3381" s="20"/>
    </row>
    <row r="3382" spans="3:3">
      <c r="C3382" s="20"/>
    </row>
    <row r="3383" spans="3:3">
      <c r="C3383" s="20"/>
    </row>
    <row r="3384" spans="3:3">
      <c r="C3384" s="20"/>
    </row>
    <row r="3385" spans="3:3">
      <c r="C3385" s="20"/>
    </row>
    <row r="3386" spans="3:3">
      <c r="C3386" s="20"/>
    </row>
    <row r="3387" spans="3:3">
      <c r="C3387" s="20"/>
    </row>
    <row r="3388" spans="3:3">
      <c r="C3388" s="20"/>
    </row>
    <row r="3389" spans="3:3">
      <c r="C3389" s="20"/>
    </row>
    <row r="3390" spans="3:3">
      <c r="C3390" s="20"/>
    </row>
    <row r="3391" spans="3:3">
      <c r="C3391" s="20"/>
    </row>
    <row r="3392" spans="3:3">
      <c r="C3392" s="20"/>
    </row>
    <row r="3393" spans="3:3">
      <c r="C3393" s="20"/>
    </row>
    <row r="3394" spans="3:3">
      <c r="C3394" s="20"/>
    </row>
    <row r="3395" spans="3:3">
      <c r="C3395" s="20"/>
    </row>
    <row r="3396" spans="3:3">
      <c r="C3396" s="20"/>
    </row>
    <row r="3397" spans="3:3">
      <c r="C3397" s="20"/>
    </row>
    <row r="3398" spans="3:3">
      <c r="C3398" s="20"/>
    </row>
    <row r="3399" spans="3:3">
      <c r="C3399" s="20"/>
    </row>
    <row r="3400" spans="3:3">
      <c r="C3400" s="20"/>
    </row>
    <row r="3401" spans="3:3">
      <c r="C3401" s="20"/>
    </row>
    <row r="3402" spans="3:3">
      <c r="C3402" s="20"/>
    </row>
    <row r="3403" spans="3:3">
      <c r="C3403" s="20"/>
    </row>
    <row r="3404" spans="3:3">
      <c r="C3404" s="20"/>
    </row>
    <row r="3405" spans="3:3">
      <c r="C3405" s="20"/>
    </row>
    <row r="3406" spans="3:3">
      <c r="C3406" s="20"/>
    </row>
    <row r="3407" spans="3:3">
      <c r="C3407" s="20"/>
    </row>
    <row r="3408" spans="3:3">
      <c r="C3408" s="20"/>
    </row>
    <row r="3409" spans="3:3">
      <c r="C3409" s="20"/>
    </row>
    <row r="3410" spans="3:3">
      <c r="C3410" s="20"/>
    </row>
    <row r="3411" spans="3:3">
      <c r="C3411" s="20"/>
    </row>
    <row r="3412" spans="3:3">
      <c r="C3412" s="20"/>
    </row>
    <row r="3413" spans="3:3">
      <c r="C3413" s="20"/>
    </row>
    <row r="3414" spans="3:3">
      <c r="C3414" s="20"/>
    </row>
    <row r="3415" spans="3:3">
      <c r="C3415" s="20"/>
    </row>
    <row r="3416" spans="3:3">
      <c r="C3416" s="20"/>
    </row>
    <row r="3417" spans="3:3">
      <c r="C3417" s="20"/>
    </row>
    <row r="3418" spans="3:3">
      <c r="C3418" s="20"/>
    </row>
    <row r="3419" spans="3:3">
      <c r="C3419" s="20"/>
    </row>
    <row r="3420" spans="3:3">
      <c r="C3420" s="20"/>
    </row>
    <row r="3421" spans="3:3">
      <c r="C3421" s="20"/>
    </row>
    <row r="3422" spans="3:3">
      <c r="C3422" s="20"/>
    </row>
    <row r="3423" spans="3:3">
      <c r="C3423" s="20"/>
    </row>
    <row r="3424" spans="3:3">
      <c r="C3424" s="20"/>
    </row>
    <row r="3425" spans="3:3">
      <c r="C3425" s="20"/>
    </row>
    <row r="3426" spans="3:3">
      <c r="C3426" s="20"/>
    </row>
    <row r="3427" spans="3:3">
      <c r="C3427" s="20"/>
    </row>
    <row r="3428" spans="3:3">
      <c r="C3428" s="20"/>
    </row>
    <row r="3429" spans="3:3">
      <c r="C3429" s="20"/>
    </row>
    <row r="3430" spans="3:3">
      <c r="C3430" s="20"/>
    </row>
    <row r="3431" spans="3:3">
      <c r="C3431" s="20"/>
    </row>
    <row r="3432" spans="3:3">
      <c r="C3432" s="20"/>
    </row>
    <row r="3433" spans="3:3">
      <c r="C3433" s="20"/>
    </row>
    <row r="3434" spans="3:3">
      <c r="C3434" s="20"/>
    </row>
    <row r="3435" spans="3:3">
      <c r="C3435" s="20"/>
    </row>
    <row r="3436" spans="3:3">
      <c r="C3436" s="20"/>
    </row>
    <row r="3437" spans="3:3">
      <c r="C3437" s="20"/>
    </row>
    <row r="3438" spans="3:3">
      <c r="C3438" s="20"/>
    </row>
    <row r="3439" spans="3:3">
      <c r="C3439" s="20"/>
    </row>
    <row r="3440" spans="3:3">
      <c r="C3440" s="20"/>
    </row>
    <row r="3441" spans="3:3">
      <c r="C3441" s="20"/>
    </row>
    <row r="3442" spans="3:3">
      <c r="C3442" s="20"/>
    </row>
    <row r="3443" spans="3:3">
      <c r="C3443" s="20"/>
    </row>
    <row r="3444" spans="3:3">
      <c r="C3444" s="20"/>
    </row>
    <row r="3445" spans="3:3">
      <c r="C3445" s="20"/>
    </row>
    <row r="3446" spans="3:3">
      <c r="C3446" s="20"/>
    </row>
    <row r="3447" spans="3:3">
      <c r="C3447" s="20"/>
    </row>
    <row r="3448" spans="3:3">
      <c r="C3448" s="20"/>
    </row>
    <row r="3449" spans="3:3">
      <c r="C3449" s="20"/>
    </row>
    <row r="3450" spans="3:3">
      <c r="C3450" s="20"/>
    </row>
    <row r="3451" spans="3:3">
      <c r="C3451" s="20"/>
    </row>
    <row r="3452" spans="3:3">
      <c r="C3452" s="20"/>
    </row>
    <row r="3453" spans="3:3">
      <c r="C3453" s="20"/>
    </row>
    <row r="3454" spans="3:3">
      <c r="C3454" s="20"/>
    </row>
    <row r="3455" spans="3:3">
      <c r="C3455" s="20"/>
    </row>
    <row r="3456" spans="3:3">
      <c r="C3456" s="20"/>
    </row>
    <row r="3457" spans="3:3">
      <c r="C3457" s="20"/>
    </row>
    <row r="1048575" spans="16383:16383">
      <c r="XFC1048575" s="25" t="s">
        <v>488</v>
      </c>
    </row>
  </sheetData>
  <sheetProtection password="CCA1" sheet="1" objects="1" scenario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4</xdr:col>
                <xdr:colOff>114300</xdr:colOff>
                <xdr:row>0</xdr:row>
                <xdr:rowOff>657225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FD53"/>
  <sheetViews>
    <sheetView showGridLines="0" zoomScale="115" zoomScaleNormal="115" workbookViewId="0">
      <pane xSplit="1" ySplit="1" topLeftCell="GT2" activePane="bottomRight" state="frozen"/>
      <selection pane="topRight" activeCell="B1" sqref="B1"/>
      <selection pane="bottomLeft" activeCell="A2" sqref="A2"/>
      <selection pane="bottomRight" activeCell="GZ2" sqref="GZ2:JS2"/>
    </sheetView>
  </sheetViews>
  <sheetFormatPr defaultColWidth="17" defaultRowHeight="15"/>
  <cols>
    <col min="1" max="1" width="17" style="139"/>
    <col min="2" max="2" width="26.140625" style="139" bestFit="1" customWidth="1"/>
    <col min="3" max="3" width="24.85546875" style="139" bestFit="1" customWidth="1"/>
    <col min="4" max="4" width="14.42578125" style="139" bestFit="1" customWidth="1"/>
    <col min="5" max="5" width="15.5703125" style="139" bestFit="1" customWidth="1"/>
    <col min="6" max="6" width="17" style="139"/>
    <col min="7" max="7" width="17" style="141"/>
    <col min="8" max="204" width="10.140625" style="141" customWidth="1"/>
    <col min="205" max="206" width="27" style="141" customWidth="1"/>
    <col min="207" max="207" width="17" style="141"/>
    <col min="208" max="404" width="8.42578125" style="141" customWidth="1"/>
    <col min="405" max="1997" width="6.140625" style="141" customWidth="1"/>
    <col min="1998" max="1998" width="9.28515625" style="142" bestFit="1" customWidth="1"/>
    <col min="1999" max="2000" width="21.85546875" style="141" customWidth="1"/>
    <col min="2001" max="2024" width="14.7109375" style="136" customWidth="1"/>
    <col min="2025" max="16384" width="17" style="141"/>
  </cols>
  <sheetData>
    <row r="1" spans="1:2216 16381:16384" s="136" customFormat="1">
      <c r="A1" s="136" t="s">
        <v>0</v>
      </c>
      <c r="B1" s="136" t="s">
        <v>59</v>
      </c>
      <c r="C1" s="136" t="s">
        <v>60</v>
      </c>
      <c r="D1" s="136" t="s">
        <v>84</v>
      </c>
      <c r="E1" s="136" t="s">
        <v>85</v>
      </c>
      <c r="F1" s="136" t="s">
        <v>377</v>
      </c>
      <c r="G1" s="136" t="s">
        <v>45</v>
      </c>
      <c r="H1" s="136">
        <v>1</v>
      </c>
      <c r="I1" s="136">
        <v>2</v>
      </c>
      <c r="J1" s="136">
        <v>3</v>
      </c>
      <c r="K1" s="136">
        <v>4</v>
      </c>
      <c r="L1" s="136">
        <v>5</v>
      </c>
      <c r="M1" s="136">
        <v>6</v>
      </c>
      <c r="N1" s="136">
        <v>7</v>
      </c>
      <c r="O1" s="136">
        <v>8</v>
      </c>
      <c r="P1" s="136">
        <v>9</v>
      </c>
      <c r="Q1" s="136">
        <v>10</v>
      </c>
      <c r="R1" s="136">
        <v>11</v>
      </c>
      <c r="S1" s="136">
        <v>12</v>
      </c>
      <c r="T1" s="136">
        <v>13</v>
      </c>
      <c r="U1" s="136">
        <v>14</v>
      </c>
      <c r="V1" s="136">
        <v>15</v>
      </c>
      <c r="W1" s="136">
        <v>16</v>
      </c>
      <c r="X1" s="136">
        <v>17</v>
      </c>
      <c r="Y1" s="136">
        <v>18</v>
      </c>
      <c r="Z1" s="136">
        <v>19</v>
      </c>
      <c r="AA1" s="136">
        <v>20</v>
      </c>
      <c r="AB1" s="136">
        <v>21</v>
      </c>
      <c r="AC1" s="136">
        <v>22</v>
      </c>
      <c r="AD1" s="136">
        <v>23</v>
      </c>
      <c r="AE1" s="136">
        <v>24</v>
      </c>
      <c r="AF1" s="136">
        <v>25</v>
      </c>
      <c r="AG1" s="136">
        <v>26</v>
      </c>
      <c r="AH1" s="136">
        <v>27</v>
      </c>
      <c r="AI1" s="136">
        <v>28</v>
      </c>
      <c r="AJ1" s="136">
        <v>29</v>
      </c>
      <c r="AK1" s="136">
        <v>30</v>
      </c>
      <c r="AL1" s="136">
        <v>31</v>
      </c>
      <c r="AM1" s="136">
        <v>32</v>
      </c>
      <c r="AN1" s="136">
        <v>33</v>
      </c>
      <c r="AO1" s="136">
        <v>34</v>
      </c>
      <c r="AP1" s="136">
        <v>35</v>
      </c>
      <c r="AQ1" s="136">
        <v>36</v>
      </c>
      <c r="AR1" s="136">
        <v>37</v>
      </c>
      <c r="AS1" s="136">
        <v>38</v>
      </c>
      <c r="AT1" s="136">
        <v>39</v>
      </c>
      <c r="AU1" s="136">
        <v>40</v>
      </c>
      <c r="AV1" s="136">
        <v>41</v>
      </c>
      <c r="AW1" s="136">
        <v>42</v>
      </c>
      <c r="AX1" s="136">
        <v>43</v>
      </c>
      <c r="AY1" s="136">
        <v>44</v>
      </c>
      <c r="AZ1" s="136">
        <v>45</v>
      </c>
      <c r="BA1" s="136">
        <v>46</v>
      </c>
      <c r="BB1" s="136">
        <v>47</v>
      </c>
      <c r="BC1" s="136">
        <v>48</v>
      </c>
      <c r="BD1" s="136">
        <v>49</v>
      </c>
      <c r="BE1" s="136">
        <v>50</v>
      </c>
      <c r="BF1" s="136">
        <v>51</v>
      </c>
      <c r="BG1" s="136">
        <v>52</v>
      </c>
      <c r="BH1" s="136">
        <v>53</v>
      </c>
      <c r="BI1" s="136">
        <v>54</v>
      </c>
      <c r="BJ1" s="136">
        <v>55</v>
      </c>
      <c r="BK1" s="136">
        <v>56</v>
      </c>
      <c r="BL1" s="136">
        <v>57</v>
      </c>
      <c r="BM1" s="136">
        <v>58</v>
      </c>
      <c r="BN1" s="136">
        <v>59</v>
      </c>
      <c r="BO1" s="136">
        <v>60</v>
      </c>
      <c r="BP1" s="136">
        <v>61</v>
      </c>
      <c r="BQ1" s="136">
        <v>62</v>
      </c>
      <c r="BR1" s="136">
        <v>63</v>
      </c>
      <c r="BS1" s="136">
        <v>64</v>
      </c>
      <c r="BT1" s="136">
        <v>65</v>
      </c>
      <c r="BU1" s="136">
        <v>66</v>
      </c>
      <c r="BV1" s="136">
        <v>67</v>
      </c>
      <c r="BW1" s="136">
        <v>68</v>
      </c>
      <c r="BX1" s="136">
        <v>69</v>
      </c>
      <c r="BY1" s="136">
        <v>70</v>
      </c>
      <c r="BZ1" s="136">
        <v>71</v>
      </c>
      <c r="CA1" s="136">
        <v>72</v>
      </c>
      <c r="CB1" s="136">
        <v>73</v>
      </c>
      <c r="CC1" s="136">
        <v>74</v>
      </c>
      <c r="CD1" s="136">
        <v>75</v>
      </c>
      <c r="CE1" s="136">
        <v>76</v>
      </c>
      <c r="CF1" s="136">
        <v>77</v>
      </c>
      <c r="CG1" s="136">
        <v>78</v>
      </c>
      <c r="CH1" s="136">
        <v>79</v>
      </c>
      <c r="CI1" s="136">
        <v>80</v>
      </c>
      <c r="CJ1" s="136">
        <v>81</v>
      </c>
      <c r="CK1" s="136">
        <v>82</v>
      </c>
      <c r="CL1" s="136">
        <v>83</v>
      </c>
      <c r="CM1" s="136">
        <v>84</v>
      </c>
      <c r="CN1" s="136">
        <v>85</v>
      </c>
      <c r="CO1" s="136">
        <v>86</v>
      </c>
      <c r="CP1" s="136">
        <v>87</v>
      </c>
      <c r="CQ1" s="136">
        <v>88</v>
      </c>
      <c r="CR1" s="136">
        <v>89</v>
      </c>
      <c r="CS1" s="136">
        <v>90</v>
      </c>
      <c r="CT1" s="136">
        <v>91</v>
      </c>
      <c r="CU1" s="136">
        <v>92</v>
      </c>
      <c r="CV1" s="136">
        <v>93</v>
      </c>
      <c r="CW1" s="136">
        <v>94</v>
      </c>
      <c r="CX1" s="136">
        <v>95</v>
      </c>
      <c r="CY1" s="136">
        <v>96</v>
      </c>
      <c r="CZ1" s="136">
        <v>97</v>
      </c>
      <c r="DA1" s="136">
        <v>98</v>
      </c>
      <c r="DB1" s="136">
        <v>99</v>
      </c>
      <c r="DC1" s="136">
        <v>100</v>
      </c>
      <c r="DD1" s="136">
        <v>101</v>
      </c>
      <c r="DE1" s="136">
        <v>102</v>
      </c>
      <c r="DF1" s="136">
        <v>103</v>
      </c>
      <c r="DG1" s="136">
        <v>104</v>
      </c>
      <c r="DH1" s="136">
        <v>105</v>
      </c>
      <c r="DI1" s="136">
        <v>106</v>
      </c>
      <c r="DJ1" s="136">
        <v>107</v>
      </c>
      <c r="DK1" s="136">
        <v>108</v>
      </c>
      <c r="DL1" s="136">
        <v>109</v>
      </c>
      <c r="DM1" s="136">
        <v>110</v>
      </c>
      <c r="DN1" s="136">
        <v>111</v>
      </c>
      <c r="DO1" s="136">
        <v>112</v>
      </c>
      <c r="DP1" s="136">
        <v>113</v>
      </c>
      <c r="DQ1" s="136">
        <v>114</v>
      </c>
      <c r="DR1" s="136">
        <v>115</v>
      </c>
      <c r="DS1" s="136">
        <v>116</v>
      </c>
      <c r="DT1" s="136">
        <v>117</v>
      </c>
      <c r="DU1" s="136">
        <v>118</v>
      </c>
      <c r="DV1" s="136">
        <v>119</v>
      </c>
      <c r="DW1" s="136">
        <v>120</v>
      </c>
      <c r="DX1" s="136">
        <v>121</v>
      </c>
      <c r="DY1" s="136">
        <v>122</v>
      </c>
      <c r="DZ1" s="136">
        <v>123</v>
      </c>
      <c r="EA1" s="136">
        <v>124</v>
      </c>
      <c r="EB1" s="136">
        <v>125</v>
      </c>
      <c r="EC1" s="136">
        <v>126</v>
      </c>
      <c r="ED1" s="136">
        <v>127</v>
      </c>
      <c r="EE1" s="136">
        <v>128</v>
      </c>
      <c r="EF1" s="136">
        <v>129</v>
      </c>
      <c r="EG1" s="136">
        <v>130</v>
      </c>
      <c r="EH1" s="136">
        <v>131</v>
      </c>
      <c r="EI1" s="136">
        <v>132</v>
      </c>
      <c r="EJ1" s="136">
        <v>133</v>
      </c>
      <c r="EK1" s="136">
        <v>134</v>
      </c>
      <c r="EL1" s="136">
        <v>135</v>
      </c>
      <c r="EM1" s="136">
        <v>136</v>
      </c>
      <c r="EN1" s="136">
        <v>137</v>
      </c>
      <c r="EO1" s="136">
        <v>138</v>
      </c>
      <c r="EP1" s="136">
        <v>139</v>
      </c>
      <c r="EQ1" s="136">
        <v>140</v>
      </c>
      <c r="ER1" s="136">
        <v>141</v>
      </c>
      <c r="ES1" s="136">
        <v>142</v>
      </c>
      <c r="ET1" s="136">
        <v>143</v>
      </c>
      <c r="EU1" s="136">
        <v>144</v>
      </c>
      <c r="EV1" s="136">
        <v>145</v>
      </c>
      <c r="EW1" s="136">
        <v>146</v>
      </c>
      <c r="EX1" s="136">
        <v>147</v>
      </c>
      <c r="EY1" s="136">
        <v>148</v>
      </c>
      <c r="EZ1" s="136">
        <v>149</v>
      </c>
      <c r="FA1" s="136">
        <v>150</v>
      </c>
      <c r="FB1" s="136">
        <v>151</v>
      </c>
      <c r="FC1" s="136">
        <v>152</v>
      </c>
      <c r="FD1" s="136">
        <v>153</v>
      </c>
      <c r="FE1" s="136">
        <v>154</v>
      </c>
      <c r="FF1" s="136">
        <v>155</v>
      </c>
      <c r="FG1" s="136">
        <v>156</v>
      </c>
      <c r="FH1" s="136">
        <v>157</v>
      </c>
      <c r="FI1" s="136">
        <v>158</v>
      </c>
      <c r="FJ1" s="136">
        <v>159</v>
      </c>
      <c r="FK1" s="136">
        <v>160</v>
      </c>
      <c r="FL1" s="136">
        <v>161</v>
      </c>
      <c r="FM1" s="136">
        <v>162</v>
      </c>
      <c r="FN1" s="136">
        <v>163</v>
      </c>
      <c r="FO1" s="136">
        <v>164</v>
      </c>
      <c r="FP1" s="136">
        <v>165</v>
      </c>
      <c r="FQ1" s="136">
        <v>166</v>
      </c>
      <c r="FR1" s="136">
        <v>167</v>
      </c>
      <c r="FS1" s="136">
        <v>168</v>
      </c>
      <c r="FT1" s="136">
        <v>169</v>
      </c>
      <c r="FU1" s="136">
        <v>170</v>
      </c>
      <c r="FV1" s="136">
        <v>171</v>
      </c>
      <c r="FW1" s="136">
        <v>172</v>
      </c>
      <c r="FX1" s="136">
        <v>173</v>
      </c>
      <c r="FY1" s="136">
        <v>174</v>
      </c>
      <c r="FZ1" s="136">
        <v>175</v>
      </c>
      <c r="GA1" s="136">
        <v>176</v>
      </c>
      <c r="GB1" s="136">
        <v>177</v>
      </c>
      <c r="GC1" s="136">
        <v>178</v>
      </c>
      <c r="GD1" s="136">
        <v>179</v>
      </c>
      <c r="GE1" s="136">
        <v>180</v>
      </c>
      <c r="GF1" s="136">
        <v>181</v>
      </c>
      <c r="GG1" s="136">
        <v>182</v>
      </c>
      <c r="GH1" s="136">
        <v>183</v>
      </c>
      <c r="GI1" s="136">
        <v>184</v>
      </c>
      <c r="GJ1" s="136">
        <v>185</v>
      </c>
      <c r="GK1" s="136">
        <v>186</v>
      </c>
      <c r="GL1" s="136">
        <v>187</v>
      </c>
      <c r="GM1" s="136">
        <v>188</v>
      </c>
      <c r="GN1" s="136">
        <v>189</v>
      </c>
      <c r="GO1" s="136">
        <v>190</v>
      </c>
      <c r="GP1" s="136">
        <v>191</v>
      </c>
      <c r="GQ1" s="136">
        <v>192</v>
      </c>
      <c r="GR1" s="136">
        <v>193</v>
      </c>
      <c r="GS1" s="136">
        <v>194</v>
      </c>
      <c r="GT1" s="136">
        <v>195</v>
      </c>
      <c r="GU1" s="136">
        <v>196</v>
      </c>
      <c r="GV1" s="136" t="s">
        <v>152</v>
      </c>
      <c r="GW1" s="136" t="s">
        <v>145</v>
      </c>
      <c r="GX1" s="136" t="s">
        <v>146</v>
      </c>
      <c r="GY1" s="136" t="s">
        <v>46</v>
      </c>
      <c r="GZ1" s="136">
        <v>1</v>
      </c>
      <c r="HA1" s="136">
        <v>2</v>
      </c>
      <c r="HB1" s="136">
        <v>3</v>
      </c>
      <c r="HC1" s="136">
        <v>4</v>
      </c>
      <c r="HD1" s="136">
        <v>5</v>
      </c>
      <c r="HE1" s="136">
        <v>6</v>
      </c>
      <c r="HF1" s="136">
        <v>7</v>
      </c>
      <c r="HG1" s="136">
        <v>8</v>
      </c>
      <c r="HH1" s="136">
        <v>9</v>
      </c>
      <c r="HI1" s="136">
        <v>10</v>
      </c>
      <c r="HJ1" s="136">
        <v>11</v>
      </c>
      <c r="HK1" s="136">
        <v>12</v>
      </c>
      <c r="HL1" s="136">
        <v>13</v>
      </c>
      <c r="HM1" s="136">
        <v>14</v>
      </c>
      <c r="HN1" s="136">
        <v>15</v>
      </c>
      <c r="HO1" s="136">
        <v>16</v>
      </c>
      <c r="HP1" s="136">
        <v>17</v>
      </c>
      <c r="HQ1" s="136">
        <v>18</v>
      </c>
      <c r="HR1" s="136">
        <v>19</v>
      </c>
      <c r="HS1" s="136">
        <v>20</v>
      </c>
      <c r="HT1" s="136">
        <v>21</v>
      </c>
      <c r="HU1" s="136">
        <v>22</v>
      </c>
      <c r="HV1" s="136">
        <v>23</v>
      </c>
      <c r="HW1" s="136">
        <v>24</v>
      </c>
      <c r="HX1" s="136">
        <v>25</v>
      </c>
      <c r="HY1" s="136">
        <v>26</v>
      </c>
      <c r="HZ1" s="136">
        <v>27</v>
      </c>
      <c r="IA1" s="136">
        <v>28</v>
      </c>
      <c r="IB1" s="136">
        <v>29</v>
      </c>
      <c r="IC1" s="136">
        <v>30</v>
      </c>
      <c r="ID1" s="136">
        <v>31</v>
      </c>
      <c r="IE1" s="136">
        <v>32</v>
      </c>
      <c r="IF1" s="136">
        <v>33</v>
      </c>
      <c r="IG1" s="136">
        <v>34</v>
      </c>
      <c r="IH1" s="136">
        <v>35</v>
      </c>
      <c r="II1" s="136">
        <v>36</v>
      </c>
      <c r="IJ1" s="136">
        <v>37</v>
      </c>
      <c r="IK1" s="136">
        <v>38</v>
      </c>
      <c r="IL1" s="136">
        <v>39</v>
      </c>
      <c r="IM1" s="136">
        <v>40</v>
      </c>
      <c r="IN1" s="136">
        <v>41</v>
      </c>
      <c r="IO1" s="136">
        <v>42</v>
      </c>
      <c r="IP1" s="136">
        <v>43</v>
      </c>
      <c r="IQ1" s="136">
        <v>44</v>
      </c>
      <c r="IR1" s="136">
        <v>45</v>
      </c>
      <c r="IS1" s="136">
        <v>46</v>
      </c>
      <c r="IT1" s="136">
        <v>47</v>
      </c>
      <c r="IU1" s="136">
        <v>48</v>
      </c>
      <c r="IV1" s="136">
        <v>49</v>
      </c>
      <c r="IW1" s="136">
        <v>50</v>
      </c>
      <c r="IX1" s="136">
        <v>51</v>
      </c>
      <c r="IY1" s="136">
        <v>52</v>
      </c>
      <c r="IZ1" s="136">
        <v>53</v>
      </c>
      <c r="JA1" s="136">
        <v>54</v>
      </c>
      <c r="JB1" s="136">
        <v>55</v>
      </c>
      <c r="JC1" s="136">
        <v>56</v>
      </c>
      <c r="JD1" s="136">
        <v>57</v>
      </c>
      <c r="JE1" s="136">
        <v>58</v>
      </c>
      <c r="JF1" s="136">
        <v>59</v>
      </c>
      <c r="JG1" s="136">
        <v>60</v>
      </c>
      <c r="JH1" s="136">
        <v>61</v>
      </c>
      <c r="JI1" s="136">
        <v>62</v>
      </c>
      <c r="JJ1" s="136">
        <v>63</v>
      </c>
      <c r="JK1" s="136">
        <v>64</v>
      </c>
      <c r="JL1" s="136">
        <v>65</v>
      </c>
      <c r="JM1" s="136">
        <v>66</v>
      </c>
      <c r="JN1" s="136">
        <v>67</v>
      </c>
      <c r="JO1" s="136">
        <v>68</v>
      </c>
      <c r="JP1" s="136">
        <v>69</v>
      </c>
      <c r="JQ1" s="136">
        <v>70</v>
      </c>
      <c r="JR1" s="136">
        <v>71</v>
      </c>
      <c r="JS1" s="136">
        <v>72</v>
      </c>
      <c r="JT1" s="136">
        <v>73</v>
      </c>
      <c r="JU1" s="136">
        <v>74</v>
      </c>
      <c r="JV1" s="136">
        <v>75</v>
      </c>
      <c r="JW1" s="136">
        <v>76</v>
      </c>
      <c r="JX1" s="136">
        <v>77</v>
      </c>
      <c r="JY1" s="136">
        <v>78</v>
      </c>
      <c r="JZ1" s="136">
        <v>79</v>
      </c>
      <c r="KA1" s="136">
        <v>80</v>
      </c>
      <c r="KB1" s="136">
        <v>81</v>
      </c>
      <c r="KC1" s="136">
        <v>82</v>
      </c>
      <c r="KD1" s="136">
        <v>83</v>
      </c>
      <c r="KE1" s="136">
        <v>84</v>
      </c>
      <c r="KF1" s="136">
        <v>85</v>
      </c>
      <c r="KG1" s="136">
        <v>86</v>
      </c>
      <c r="KH1" s="136">
        <v>87</v>
      </c>
      <c r="KI1" s="136">
        <v>88</v>
      </c>
      <c r="KJ1" s="136">
        <v>89</v>
      </c>
      <c r="KK1" s="136">
        <v>90</v>
      </c>
      <c r="KL1" s="136">
        <v>91</v>
      </c>
      <c r="KM1" s="136">
        <v>92</v>
      </c>
      <c r="KN1" s="136">
        <v>93</v>
      </c>
      <c r="KO1" s="136">
        <v>94</v>
      </c>
      <c r="KP1" s="136">
        <v>95</v>
      </c>
      <c r="KQ1" s="136">
        <v>96</v>
      </c>
      <c r="KR1" s="136">
        <v>97</v>
      </c>
      <c r="KS1" s="136">
        <v>98</v>
      </c>
      <c r="KT1" s="136">
        <v>99</v>
      </c>
      <c r="KU1" s="136">
        <v>100</v>
      </c>
      <c r="KV1" s="136">
        <v>101</v>
      </c>
      <c r="KW1" s="136">
        <v>102</v>
      </c>
      <c r="KX1" s="136">
        <v>103</v>
      </c>
      <c r="KY1" s="136">
        <v>104</v>
      </c>
      <c r="KZ1" s="136">
        <v>105</v>
      </c>
      <c r="LA1" s="136">
        <v>106</v>
      </c>
      <c r="LB1" s="136">
        <v>107</v>
      </c>
      <c r="LC1" s="136">
        <v>108</v>
      </c>
      <c r="LD1" s="136">
        <v>109</v>
      </c>
      <c r="LE1" s="136">
        <v>110</v>
      </c>
      <c r="LF1" s="136">
        <v>111</v>
      </c>
      <c r="LG1" s="136">
        <v>112</v>
      </c>
      <c r="LH1" s="136">
        <v>113</v>
      </c>
      <c r="LI1" s="136">
        <v>114</v>
      </c>
      <c r="LJ1" s="136">
        <v>115</v>
      </c>
      <c r="LK1" s="136">
        <v>116</v>
      </c>
      <c r="LL1" s="136">
        <v>117</v>
      </c>
      <c r="LM1" s="136">
        <v>118</v>
      </c>
      <c r="LN1" s="136">
        <v>119</v>
      </c>
      <c r="LO1" s="136">
        <v>120</v>
      </c>
      <c r="LP1" s="136">
        <v>121</v>
      </c>
      <c r="LQ1" s="136">
        <v>122</v>
      </c>
      <c r="LR1" s="136">
        <v>123</v>
      </c>
      <c r="LS1" s="136">
        <v>124</v>
      </c>
      <c r="LT1" s="136">
        <v>125</v>
      </c>
      <c r="LU1" s="136">
        <v>126</v>
      </c>
      <c r="LV1" s="136">
        <v>127</v>
      </c>
      <c r="LW1" s="136">
        <v>128</v>
      </c>
      <c r="LX1" s="136">
        <v>129</v>
      </c>
      <c r="LY1" s="136">
        <v>130</v>
      </c>
      <c r="LZ1" s="136">
        <v>131</v>
      </c>
      <c r="MA1" s="136">
        <v>132</v>
      </c>
      <c r="MB1" s="136">
        <v>133</v>
      </c>
      <c r="MC1" s="136">
        <v>134</v>
      </c>
      <c r="MD1" s="136">
        <v>135</v>
      </c>
      <c r="ME1" s="136">
        <v>136</v>
      </c>
      <c r="MF1" s="136">
        <v>137</v>
      </c>
      <c r="MG1" s="136">
        <v>138</v>
      </c>
      <c r="MH1" s="136">
        <v>139</v>
      </c>
      <c r="MI1" s="136">
        <v>140</v>
      </c>
      <c r="MJ1" s="136">
        <v>141</v>
      </c>
      <c r="MK1" s="136">
        <v>142</v>
      </c>
      <c r="ML1" s="136">
        <v>143</v>
      </c>
      <c r="MM1" s="136">
        <v>144</v>
      </c>
      <c r="MN1" s="136">
        <v>145</v>
      </c>
      <c r="MO1" s="136">
        <v>146</v>
      </c>
      <c r="MP1" s="136">
        <v>147</v>
      </c>
      <c r="MQ1" s="136">
        <v>148</v>
      </c>
      <c r="MR1" s="136">
        <v>149</v>
      </c>
      <c r="MS1" s="136">
        <v>150</v>
      </c>
      <c r="MT1" s="136">
        <v>151</v>
      </c>
      <c r="MU1" s="136">
        <v>152</v>
      </c>
      <c r="MV1" s="136">
        <v>153</v>
      </c>
      <c r="MW1" s="136">
        <v>154</v>
      </c>
      <c r="MX1" s="136">
        <v>155</v>
      </c>
      <c r="MY1" s="136">
        <v>156</v>
      </c>
      <c r="MZ1" s="136">
        <v>157</v>
      </c>
      <c r="NA1" s="136">
        <v>158</v>
      </c>
      <c r="NB1" s="136">
        <v>159</v>
      </c>
      <c r="NC1" s="136">
        <v>160</v>
      </c>
      <c r="ND1" s="136">
        <v>161</v>
      </c>
      <c r="NE1" s="136">
        <v>162</v>
      </c>
      <c r="NF1" s="136">
        <v>163</v>
      </c>
      <c r="NG1" s="136">
        <v>164</v>
      </c>
      <c r="NH1" s="136">
        <v>165</v>
      </c>
      <c r="NI1" s="136">
        <v>166</v>
      </c>
      <c r="NJ1" s="136">
        <v>167</v>
      </c>
      <c r="NK1" s="136">
        <v>168</v>
      </c>
      <c r="NL1" s="136">
        <v>169</v>
      </c>
      <c r="NM1" s="136">
        <v>170</v>
      </c>
      <c r="NN1" s="136">
        <v>171</v>
      </c>
      <c r="NO1" s="136">
        <v>172</v>
      </c>
      <c r="NP1" s="136">
        <v>173</v>
      </c>
      <c r="NQ1" s="136">
        <v>174</v>
      </c>
      <c r="NR1" s="136">
        <v>175</v>
      </c>
      <c r="NS1" s="136">
        <v>176</v>
      </c>
      <c r="NT1" s="136">
        <v>177</v>
      </c>
      <c r="NU1" s="136">
        <v>178</v>
      </c>
      <c r="NV1" s="136">
        <v>179</v>
      </c>
      <c r="NW1" s="136">
        <v>180</v>
      </c>
      <c r="NX1" s="136">
        <v>181</v>
      </c>
      <c r="NY1" s="136">
        <v>182</v>
      </c>
      <c r="NZ1" s="136">
        <v>183</v>
      </c>
      <c r="OA1" s="136">
        <v>184</v>
      </c>
      <c r="OB1" s="136">
        <v>185</v>
      </c>
      <c r="OC1" s="136">
        <v>186</v>
      </c>
      <c r="OD1" s="136">
        <v>187</v>
      </c>
      <c r="OE1" s="136">
        <v>188</v>
      </c>
      <c r="OF1" s="136">
        <v>189</v>
      </c>
      <c r="OG1" s="136">
        <v>190</v>
      </c>
      <c r="OH1" s="136">
        <v>191</v>
      </c>
      <c r="OI1" s="136">
        <v>192</v>
      </c>
      <c r="OJ1" s="136">
        <v>193</v>
      </c>
      <c r="OK1" s="136">
        <v>194</v>
      </c>
      <c r="OL1" s="136">
        <v>195</v>
      </c>
      <c r="OM1" s="136">
        <v>196</v>
      </c>
      <c r="ON1" s="136">
        <v>197</v>
      </c>
      <c r="OO1" s="136">
        <v>198</v>
      </c>
      <c r="OP1" s="136">
        <v>199</v>
      </c>
      <c r="OQ1" s="136">
        <v>200</v>
      </c>
      <c r="OR1" s="136">
        <v>201</v>
      </c>
      <c r="OS1" s="136">
        <v>202</v>
      </c>
      <c r="OT1" s="136">
        <v>203</v>
      </c>
      <c r="OU1" s="136">
        <v>204</v>
      </c>
      <c r="OV1" s="136">
        <v>205</v>
      </c>
      <c r="OW1" s="136">
        <v>206</v>
      </c>
      <c r="OX1" s="136">
        <v>207</v>
      </c>
      <c r="OY1" s="136">
        <v>208</v>
      </c>
      <c r="OZ1" s="136">
        <v>209</v>
      </c>
      <c r="PA1" s="136">
        <v>210</v>
      </c>
      <c r="PB1" s="136">
        <v>211</v>
      </c>
      <c r="PC1" s="136">
        <v>212</v>
      </c>
      <c r="PD1" s="136">
        <v>213</v>
      </c>
      <c r="PE1" s="136">
        <v>214</v>
      </c>
      <c r="PF1" s="136">
        <v>215</v>
      </c>
      <c r="PG1" s="136">
        <v>216</v>
      </c>
      <c r="PH1" s="136">
        <v>217</v>
      </c>
      <c r="PI1" s="136">
        <v>218</v>
      </c>
      <c r="PJ1" s="136">
        <v>219</v>
      </c>
      <c r="PK1" s="136">
        <v>220</v>
      </c>
      <c r="PL1" s="136">
        <v>221</v>
      </c>
      <c r="PM1" s="136">
        <v>222</v>
      </c>
      <c r="PN1" s="136">
        <v>223</v>
      </c>
      <c r="PO1" s="136">
        <v>224</v>
      </c>
      <c r="PP1" s="136">
        <v>225</v>
      </c>
      <c r="PQ1" s="136">
        <v>226</v>
      </c>
      <c r="PR1" s="136">
        <v>227</v>
      </c>
      <c r="PS1" s="136">
        <v>228</v>
      </c>
      <c r="PT1" s="136">
        <v>229</v>
      </c>
      <c r="PU1" s="136">
        <v>230</v>
      </c>
      <c r="PV1" s="136">
        <v>231</v>
      </c>
      <c r="PW1" s="136">
        <v>232</v>
      </c>
      <c r="PX1" s="136">
        <v>233</v>
      </c>
      <c r="PY1" s="136">
        <v>234</v>
      </c>
      <c r="PZ1" s="136">
        <v>235</v>
      </c>
      <c r="QA1" s="136">
        <v>236</v>
      </c>
      <c r="QB1" s="136">
        <v>237</v>
      </c>
      <c r="QC1" s="136">
        <v>238</v>
      </c>
      <c r="QD1" s="136">
        <v>239</v>
      </c>
      <c r="QE1" s="136">
        <v>240</v>
      </c>
      <c r="QF1" s="136">
        <v>241</v>
      </c>
      <c r="QG1" s="136">
        <v>242</v>
      </c>
      <c r="QH1" s="136">
        <v>243</v>
      </c>
      <c r="QI1" s="136">
        <v>244</v>
      </c>
      <c r="QJ1" s="136">
        <v>245</v>
      </c>
      <c r="QK1" s="136">
        <v>246</v>
      </c>
      <c r="QL1" s="136">
        <v>247</v>
      </c>
      <c r="QM1" s="136">
        <v>248</v>
      </c>
      <c r="QN1" s="136">
        <v>249</v>
      </c>
      <c r="QO1" s="136">
        <v>250</v>
      </c>
      <c r="QP1" s="136">
        <v>251</v>
      </c>
      <c r="QQ1" s="136">
        <v>252</v>
      </c>
      <c r="QR1" s="136">
        <v>253</v>
      </c>
      <c r="QS1" s="136">
        <v>254</v>
      </c>
      <c r="QT1" s="136">
        <v>255</v>
      </c>
      <c r="QU1" s="136">
        <v>256</v>
      </c>
      <c r="QV1" s="136">
        <v>257</v>
      </c>
      <c r="QW1" s="136">
        <v>258</v>
      </c>
      <c r="QX1" s="136">
        <v>259</v>
      </c>
      <c r="QY1" s="136">
        <v>260</v>
      </c>
      <c r="QZ1" s="136">
        <v>261</v>
      </c>
      <c r="RA1" s="136">
        <v>262</v>
      </c>
      <c r="RB1" s="136">
        <v>263</v>
      </c>
      <c r="RC1" s="136">
        <v>264</v>
      </c>
      <c r="RD1" s="136">
        <v>265</v>
      </c>
      <c r="RE1" s="136">
        <v>266</v>
      </c>
      <c r="RF1" s="136">
        <v>267</v>
      </c>
      <c r="RG1" s="136">
        <v>268</v>
      </c>
      <c r="RH1" s="136">
        <v>269</v>
      </c>
      <c r="RI1" s="136">
        <v>270</v>
      </c>
      <c r="RJ1" s="136">
        <v>271</v>
      </c>
      <c r="RK1" s="136">
        <v>272</v>
      </c>
      <c r="RL1" s="136">
        <v>273</v>
      </c>
      <c r="RM1" s="136">
        <v>274</v>
      </c>
      <c r="RN1" s="136">
        <v>275</v>
      </c>
      <c r="RO1" s="136">
        <v>276</v>
      </c>
      <c r="RP1" s="136">
        <v>277</v>
      </c>
      <c r="RQ1" s="136">
        <v>278</v>
      </c>
      <c r="RR1" s="136">
        <v>279</v>
      </c>
      <c r="RS1" s="136">
        <v>280</v>
      </c>
      <c r="RT1" s="136">
        <v>281</v>
      </c>
      <c r="RU1" s="136">
        <v>282</v>
      </c>
      <c r="RV1" s="136">
        <v>283</v>
      </c>
      <c r="RW1" s="136">
        <v>284</v>
      </c>
      <c r="RX1" s="136">
        <v>285</v>
      </c>
      <c r="RY1" s="136">
        <v>286</v>
      </c>
      <c r="RZ1" s="136">
        <v>287</v>
      </c>
      <c r="SA1" s="136">
        <v>288</v>
      </c>
      <c r="SB1" s="136">
        <v>289</v>
      </c>
      <c r="SC1" s="136">
        <v>290</v>
      </c>
      <c r="SD1" s="136">
        <v>291</v>
      </c>
      <c r="SE1" s="136">
        <v>292</v>
      </c>
      <c r="SF1" s="136">
        <v>293</v>
      </c>
      <c r="SG1" s="136">
        <v>294</v>
      </c>
      <c r="SH1" s="136">
        <v>295</v>
      </c>
      <c r="SI1" s="136">
        <v>296</v>
      </c>
      <c r="SJ1" s="136">
        <v>297</v>
      </c>
      <c r="SK1" s="136">
        <v>298</v>
      </c>
      <c r="SL1" s="136">
        <v>299</v>
      </c>
      <c r="SM1" s="136">
        <v>300</v>
      </c>
      <c r="SN1" s="136">
        <v>301</v>
      </c>
      <c r="SO1" s="136">
        <v>302</v>
      </c>
      <c r="SP1" s="136">
        <v>303</v>
      </c>
      <c r="SQ1" s="136">
        <v>304</v>
      </c>
      <c r="SR1" s="136">
        <v>305</v>
      </c>
      <c r="SS1" s="136">
        <v>306</v>
      </c>
      <c r="ST1" s="136">
        <v>307</v>
      </c>
      <c r="SU1" s="136">
        <v>308</v>
      </c>
      <c r="SV1" s="136">
        <v>309</v>
      </c>
      <c r="SW1" s="136">
        <v>310</v>
      </c>
      <c r="SX1" s="136">
        <v>311</v>
      </c>
      <c r="SY1" s="136">
        <v>312</v>
      </c>
      <c r="SZ1" s="136">
        <v>313</v>
      </c>
      <c r="TA1" s="136">
        <v>314</v>
      </c>
      <c r="TB1" s="136">
        <v>315</v>
      </c>
      <c r="TC1" s="136">
        <v>316</v>
      </c>
      <c r="TD1" s="136">
        <v>317</v>
      </c>
      <c r="TE1" s="136">
        <v>318</v>
      </c>
      <c r="TF1" s="136">
        <v>319</v>
      </c>
      <c r="TG1" s="136">
        <v>320</v>
      </c>
      <c r="TH1" s="136">
        <v>321</v>
      </c>
      <c r="TI1" s="136">
        <v>322</v>
      </c>
      <c r="TJ1" s="136">
        <v>323</v>
      </c>
      <c r="TK1" s="136">
        <v>324</v>
      </c>
      <c r="TL1" s="136">
        <v>325</v>
      </c>
      <c r="TM1" s="136">
        <v>326</v>
      </c>
      <c r="TN1" s="136">
        <v>327</v>
      </c>
      <c r="TO1" s="136">
        <v>328</v>
      </c>
      <c r="TP1" s="136">
        <v>329</v>
      </c>
      <c r="TQ1" s="136">
        <v>330</v>
      </c>
      <c r="TR1" s="136">
        <v>331</v>
      </c>
      <c r="TS1" s="136">
        <v>332</v>
      </c>
      <c r="TT1" s="136">
        <v>333</v>
      </c>
      <c r="TU1" s="136">
        <v>334</v>
      </c>
      <c r="TV1" s="136">
        <v>335</v>
      </c>
      <c r="TW1" s="136">
        <v>336</v>
      </c>
      <c r="TX1" s="136">
        <v>337</v>
      </c>
      <c r="TY1" s="136">
        <v>338</v>
      </c>
      <c r="TZ1" s="136">
        <v>339</v>
      </c>
      <c r="UA1" s="136">
        <v>340</v>
      </c>
      <c r="UB1" s="136">
        <v>341</v>
      </c>
      <c r="UC1" s="136">
        <v>342</v>
      </c>
      <c r="UD1" s="136">
        <v>343</v>
      </c>
      <c r="UE1" s="136">
        <v>344</v>
      </c>
      <c r="UF1" s="136">
        <v>345</v>
      </c>
      <c r="UG1" s="136">
        <v>346</v>
      </c>
      <c r="UH1" s="136">
        <v>347</v>
      </c>
      <c r="UI1" s="136">
        <v>348</v>
      </c>
      <c r="UJ1" s="136">
        <v>349</v>
      </c>
      <c r="UK1" s="136">
        <v>350</v>
      </c>
      <c r="UL1" s="136">
        <v>351</v>
      </c>
      <c r="UM1" s="136">
        <v>352</v>
      </c>
      <c r="UN1" s="136">
        <v>353</v>
      </c>
      <c r="UO1" s="136">
        <v>354</v>
      </c>
      <c r="UP1" s="136">
        <v>355</v>
      </c>
      <c r="UQ1" s="136">
        <v>356</v>
      </c>
      <c r="UR1" s="136">
        <v>357</v>
      </c>
      <c r="US1" s="136">
        <v>358</v>
      </c>
      <c r="UT1" s="136">
        <v>359</v>
      </c>
      <c r="UU1" s="136">
        <v>360</v>
      </c>
      <c r="UV1" s="136">
        <v>361</v>
      </c>
      <c r="UW1" s="136">
        <v>362</v>
      </c>
      <c r="UX1" s="136">
        <v>363</v>
      </c>
      <c r="UY1" s="136">
        <v>364</v>
      </c>
      <c r="UZ1" s="136">
        <v>365</v>
      </c>
      <c r="VA1" s="136">
        <v>366</v>
      </c>
      <c r="VB1" s="136">
        <v>367</v>
      </c>
      <c r="VC1" s="136">
        <v>368</v>
      </c>
      <c r="VD1" s="136">
        <v>369</v>
      </c>
      <c r="VE1" s="136">
        <v>370</v>
      </c>
      <c r="VF1" s="136">
        <v>371</v>
      </c>
      <c r="VG1" s="136">
        <v>372</v>
      </c>
      <c r="VH1" s="136">
        <v>373</v>
      </c>
      <c r="VI1" s="136">
        <v>374</v>
      </c>
      <c r="VJ1" s="136">
        <v>375</v>
      </c>
      <c r="VK1" s="136">
        <v>376</v>
      </c>
      <c r="VL1" s="136">
        <v>377</v>
      </c>
      <c r="VM1" s="136">
        <v>378</v>
      </c>
      <c r="VN1" s="136">
        <v>379</v>
      </c>
      <c r="VO1" s="136">
        <v>380</v>
      </c>
      <c r="VP1" s="136">
        <v>381</v>
      </c>
      <c r="VQ1" s="136">
        <v>382</v>
      </c>
      <c r="VR1" s="136">
        <v>383</v>
      </c>
      <c r="VS1" s="136">
        <v>384</v>
      </c>
      <c r="VT1" s="136">
        <v>385</v>
      </c>
      <c r="VU1" s="136">
        <v>386</v>
      </c>
      <c r="VV1" s="136">
        <v>387</v>
      </c>
      <c r="VW1" s="136">
        <v>388</v>
      </c>
      <c r="VX1" s="136">
        <v>389</v>
      </c>
      <c r="VY1" s="136">
        <v>390</v>
      </c>
      <c r="VZ1" s="136">
        <v>391</v>
      </c>
      <c r="WA1" s="136">
        <v>392</v>
      </c>
      <c r="WB1" s="136">
        <v>393</v>
      </c>
      <c r="WC1" s="136">
        <v>394</v>
      </c>
      <c r="WD1" s="136">
        <v>395</v>
      </c>
      <c r="WE1" s="136">
        <v>396</v>
      </c>
      <c r="WF1" s="136">
        <v>397</v>
      </c>
      <c r="WG1" s="136">
        <v>398</v>
      </c>
      <c r="WH1" s="136">
        <v>399</v>
      </c>
      <c r="WI1" s="136">
        <v>400</v>
      </c>
      <c r="WJ1" s="136">
        <v>401</v>
      </c>
      <c r="WK1" s="136">
        <v>402</v>
      </c>
      <c r="WL1" s="136">
        <v>403</v>
      </c>
      <c r="WM1" s="136">
        <v>404</v>
      </c>
      <c r="WN1" s="136">
        <v>405</v>
      </c>
      <c r="WO1" s="136">
        <v>406</v>
      </c>
      <c r="WP1" s="136">
        <v>407</v>
      </c>
      <c r="WQ1" s="136">
        <v>408</v>
      </c>
      <c r="WR1" s="136">
        <v>409</v>
      </c>
      <c r="WS1" s="136">
        <v>410</v>
      </c>
      <c r="WT1" s="136">
        <v>411</v>
      </c>
      <c r="WU1" s="136">
        <v>412</v>
      </c>
      <c r="WV1" s="136">
        <v>413</v>
      </c>
      <c r="WW1" s="136">
        <v>414</v>
      </c>
      <c r="WX1" s="136">
        <v>415</v>
      </c>
      <c r="WY1" s="136">
        <v>416</v>
      </c>
      <c r="WZ1" s="136">
        <v>417</v>
      </c>
      <c r="XA1" s="136">
        <v>418</v>
      </c>
      <c r="XB1" s="136">
        <v>419</v>
      </c>
      <c r="XC1" s="136">
        <v>420</v>
      </c>
      <c r="XD1" s="136">
        <v>421</v>
      </c>
      <c r="XE1" s="136">
        <v>422</v>
      </c>
      <c r="XF1" s="136">
        <v>423</v>
      </c>
      <c r="XG1" s="136">
        <v>424</v>
      </c>
      <c r="XH1" s="136">
        <v>425</v>
      </c>
      <c r="XI1" s="136">
        <v>426</v>
      </c>
      <c r="XJ1" s="136">
        <v>427</v>
      </c>
      <c r="XK1" s="136">
        <v>428</v>
      </c>
      <c r="XL1" s="136">
        <v>429</v>
      </c>
      <c r="XM1" s="136">
        <v>430</v>
      </c>
      <c r="XN1" s="136">
        <v>431</v>
      </c>
      <c r="XO1" s="136">
        <v>432</v>
      </c>
      <c r="XP1" s="136">
        <v>433</v>
      </c>
      <c r="XQ1" s="136">
        <v>434</v>
      </c>
      <c r="XR1" s="136">
        <v>435</v>
      </c>
      <c r="XS1" s="136">
        <v>436</v>
      </c>
      <c r="XT1" s="136">
        <v>437</v>
      </c>
      <c r="XU1" s="136">
        <v>438</v>
      </c>
      <c r="XV1" s="136">
        <v>439</v>
      </c>
      <c r="XW1" s="136">
        <v>440</v>
      </c>
      <c r="XX1" s="136">
        <v>441</v>
      </c>
      <c r="XY1" s="136">
        <v>442</v>
      </c>
      <c r="XZ1" s="136">
        <v>443</v>
      </c>
      <c r="YA1" s="136">
        <v>444</v>
      </c>
      <c r="YB1" s="136">
        <v>445</v>
      </c>
      <c r="YC1" s="136">
        <v>446</v>
      </c>
      <c r="YD1" s="136">
        <v>447</v>
      </c>
      <c r="YE1" s="136">
        <v>448</v>
      </c>
      <c r="YF1" s="136">
        <v>449</v>
      </c>
      <c r="YG1" s="136">
        <v>450</v>
      </c>
      <c r="YH1" s="136">
        <v>451</v>
      </c>
      <c r="YI1" s="136">
        <v>452</v>
      </c>
      <c r="YJ1" s="136">
        <v>453</v>
      </c>
      <c r="YK1" s="136">
        <v>454</v>
      </c>
      <c r="YL1" s="136">
        <v>455</v>
      </c>
      <c r="YM1" s="136">
        <v>456</v>
      </c>
      <c r="YN1" s="136">
        <v>457</v>
      </c>
      <c r="YO1" s="136">
        <v>458</v>
      </c>
      <c r="YP1" s="136">
        <v>459</v>
      </c>
      <c r="YQ1" s="136">
        <v>460</v>
      </c>
      <c r="YR1" s="136">
        <v>461</v>
      </c>
      <c r="YS1" s="136">
        <v>462</v>
      </c>
      <c r="YT1" s="136">
        <v>463</v>
      </c>
      <c r="YU1" s="136">
        <v>464</v>
      </c>
      <c r="YV1" s="136">
        <v>465</v>
      </c>
      <c r="YW1" s="136">
        <v>466</v>
      </c>
      <c r="YX1" s="136">
        <v>467</v>
      </c>
      <c r="YY1" s="136">
        <v>468</v>
      </c>
      <c r="YZ1" s="136">
        <v>469</v>
      </c>
      <c r="ZA1" s="136">
        <v>470</v>
      </c>
      <c r="ZB1" s="136">
        <v>471</v>
      </c>
      <c r="ZC1" s="136">
        <v>472</v>
      </c>
      <c r="ZD1" s="136">
        <v>473</v>
      </c>
      <c r="ZE1" s="136">
        <v>474</v>
      </c>
      <c r="ZF1" s="136">
        <v>475</v>
      </c>
      <c r="ZG1" s="136">
        <v>476</v>
      </c>
      <c r="ZH1" s="136">
        <v>477</v>
      </c>
      <c r="ZI1" s="136">
        <v>478</v>
      </c>
      <c r="ZJ1" s="136">
        <v>479</v>
      </c>
      <c r="ZK1" s="136">
        <v>480</v>
      </c>
      <c r="ZL1" s="136">
        <v>481</v>
      </c>
      <c r="ZM1" s="136">
        <v>482</v>
      </c>
      <c r="ZN1" s="136">
        <v>483</v>
      </c>
      <c r="ZO1" s="136">
        <v>484</v>
      </c>
      <c r="ZP1" s="136">
        <v>485</v>
      </c>
      <c r="ZQ1" s="136">
        <v>486</v>
      </c>
      <c r="ZR1" s="136">
        <v>487</v>
      </c>
      <c r="ZS1" s="136">
        <v>488</v>
      </c>
      <c r="ZT1" s="136">
        <v>489</v>
      </c>
      <c r="ZU1" s="136">
        <v>490</v>
      </c>
      <c r="ZV1" s="136">
        <v>491</v>
      </c>
      <c r="ZW1" s="136">
        <v>492</v>
      </c>
      <c r="ZX1" s="136">
        <v>493</v>
      </c>
      <c r="ZY1" s="136">
        <v>494</v>
      </c>
      <c r="ZZ1" s="136">
        <v>495</v>
      </c>
      <c r="AAA1" s="136">
        <v>496</v>
      </c>
      <c r="AAB1" s="136">
        <v>497</v>
      </c>
      <c r="AAC1" s="136">
        <v>498</v>
      </c>
      <c r="AAD1" s="136">
        <v>499</v>
      </c>
      <c r="AAE1" s="136">
        <v>500</v>
      </c>
      <c r="AAF1" s="136">
        <v>501</v>
      </c>
      <c r="AAG1" s="136">
        <v>502</v>
      </c>
      <c r="AAH1" s="136">
        <v>503</v>
      </c>
      <c r="AAI1" s="136">
        <v>504</v>
      </c>
      <c r="AAJ1" s="136">
        <v>505</v>
      </c>
      <c r="AAK1" s="136">
        <v>506</v>
      </c>
      <c r="AAL1" s="136">
        <v>507</v>
      </c>
      <c r="AAM1" s="136">
        <v>508</v>
      </c>
      <c r="AAN1" s="136">
        <v>509</v>
      </c>
      <c r="AAO1" s="136">
        <v>510</v>
      </c>
      <c r="AAP1" s="136">
        <v>511</v>
      </c>
      <c r="AAQ1" s="136">
        <v>512</v>
      </c>
      <c r="AAR1" s="136">
        <v>513</v>
      </c>
      <c r="AAS1" s="136">
        <v>514</v>
      </c>
      <c r="AAT1" s="136">
        <v>515</v>
      </c>
      <c r="AAU1" s="136">
        <v>516</v>
      </c>
      <c r="AAV1" s="136">
        <v>517</v>
      </c>
      <c r="AAW1" s="136">
        <v>518</v>
      </c>
      <c r="AAX1" s="136">
        <v>519</v>
      </c>
      <c r="AAY1" s="136">
        <v>520</v>
      </c>
      <c r="AAZ1" s="136">
        <v>521</v>
      </c>
      <c r="ABA1" s="136">
        <v>522</v>
      </c>
      <c r="ABB1" s="136">
        <v>523</v>
      </c>
      <c r="ABC1" s="136">
        <v>524</v>
      </c>
      <c r="ABD1" s="136">
        <v>525</v>
      </c>
      <c r="ABE1" s="136">
        <v>526</v>
      </c>
      <c r="ABF1" s="136">
        <v>527</v>
      </c>
      <c r="ABG1" s="136">
        <v>528</v>
      </c>
      <c r="ABH1" s="136">
        <v>529</v>
      </c>
      <c r="ABI1" s="136">
        <v>530</v>
      </c>
      <c r="ABJ1" s="136">
        <v>531</v>
      </c>
      <c r="ABK1" s="136">
        <v>532</v>
      </c>
      <c r="ABL1" s="136">
        <v>533</v>
      </c>
      <c r="ABM1" s="136">
        <v>534</v>
      </c>
      <c r="ABN1" s="136">
        <v>535</v>
      </c>
      <c r="ABO1" s="136">
        <v>536</v>
      </c>
      <c r="ABP1" s="136">
        <v>537</v>
      </c>
      <c r="ABQ1" s="136">
        <v>538</v>
      </c>
      <c r="ABR1" s="136">
        <v>539</v>
      </c>
      <c r="ABS1" s="136">
        <v>540</v>
      </c>
      <c r="ABT1" s="136">
        <v>541</v>
      </c>
      <c r="ABU1" s="136">
        <v>542</v>
      </c>
      <c r="ABV1" s="136">
        <v>543</v>
      </c>
      <c r="ABW1" s="136">
        <v>544</v>
      </c>
      <c r="ABX1" s="136">
        <v>545</v>
      </c>
      <c r="ABY1" s="136">
        <v>546</v>
      </c>
      <c r="ABZ1" s="136">
        <v>547</v>
      </c>
      <c r="ACA1" s="136">
        <v>548</v>
      </c>
      <c r="ACB1" s="136">
        <v>549</v>
      </c>
      <c r="ACC1" s="136">
        <v>550</v>
      </c>
      <c r="ACD1" s="136">
        <v>551</v>
      </c>
      <c r="ACE1" s="136">
        <v>552</v>
      </c>
      <c r="ACF1" s="136">
        <v>553</v>
      </c>
      <c r="ACG1" s="136">
        <v>554</v>
      </c>
      <c r="ACH1" s="136">
        <v>555</v>
      </c>
      <c r="ACI1" s="136">
        <v>556</v>
      </c>
      <c r="ACJ1" s="136">
        <v>557</v>
      </c>
      <c r="ACK1" s="136">
        <v>558</v>
      </c>
      <c r="ACL1" s="136">
        <v>559</v>
      </c>
      <c r="ACM1" s="136">
        <v>560</v>
      </c>
      <c r="ACN1" s="136">
        <v>561</v>
      </c>
      <c r="ACO1" s="136">
        <v>562</v>
      </c>
      <c r="ACP1" s="136">
        <v>563</v>
      </c>
      <c r="ACQ1" s="136">
        <v>564</v>
      </c>
      <c r="ACR1" s="136">
        <v>565</v>
      </c>
      <c r="ACS1" s="136">
        <v>566</v>
      </c>
      <c r="ACT1" s="136">
        <v>567</v>
      </c>
      <c r="ACU1" s="136">
        <v>568</v>
      </c>
      <c r="ACV1" s="136">
        <v>569</v>
      </c>
      <c r="ACW1" s="136">
        <v>570</v>
      </c>
      <c r="ACX1" s="136">
        <v>571</v>
      </c>
      <c r="ACY1" s="136">
        <v>572</v>
      </c>
      <c r="ACZ1" s="136">
        <v>573</v>
      </c>
      <c r="ADA1" s="136">
        <v>574</v>
      </c>
      <c r="ADB1" s="136">
        <v>575</v>
      </c>
      <c r="ADC1" s="136">
        <v>576</v>
      </c>
      <c r="ADD1" s="136">
        <v>577</v>
      </c>
      <c r="ADE1" s="136">
        <v>578</v>
      </c>
      <c r="ADF1" s="136">
        <v>579</v>
      </c>
      <c r="ADG1" s="136">
        <v>580</v>
      </c>
      <c r="ADH1" s="136">
        <v>581</v>
      </c>
      <c r="ADI1" s="136">
        <v>582</v>
      </c>
      <c r="ADJ1" s="136">
        <v>583</v>
      </c>
      <c r="ADK1" s="136">
        <v>584</v>
      </c>
      <c r="ADL1" s="136">
        <v>585</v>
      </c>
      <c r="ADM1" s="136">
        <v>586</v>
      </c>
      <c r="ADN1" s="136">
        <v>587</v>
      </c>
      <c r="ADO1" s="136">
        <v>588</v>
      </c>
      <c r="ADP1" s="136">
        <v>589</v>
      </c>
      <c r="ADQ1" s="136">
        <v>590</v>
      </c>
      <c r="ADR1" s="136">
        <v>591</v>
      </c>
      <c r="ADS1" s="136">
        <v>592</v>
      </c>
      <c r="ADT1" s="136">
        <v>593</v>
      </c>
      <c r="ADU1" s="136">
        <v>594</v>
      </c>
      <c r="ADV1" s="136">
        <v>595</v>
      </c>
      <c r="ADW1" s="136">
        <v>596</v>
      </c>
      <c r="ADX1" s="136">
        <v>597</v>
      </c>
      <c r="ADY1" s="136">
        <v>598</v>
      </c>
      <c r="ADZ1" s="136">
        <v>599</v>
      </c>
      <c r="AEA1" s="136">
        <v>600</v>
      </c>
      <c r="AEB1" s="136">
        <v>601</v>
      </c>
      <c r="AEC1" s="136">
        <v>602</v>
      </c>
      <c r="AED1" s="136">
        <v>603</v>
      </c>
      <c r="AEE1" s="136">
        <v>604</v>
      </c>
      <c r="AEF1" s="136">
        <v>605</v>
      </c>
      <c r="AEG1" s="136">
        <v>606</v>
      </c>
      <c r="AEH1" s="136">
        <v>607</v>
      </c>
      <c r="AEI1" s="136">
        <v>608</v>
      </c>
      <c r="AEJ1" s="136">
        <v>609</v>
      </c>
      <c r="AEK1" s="136">
        <v>610</v>
      </c>
      <c r="AEL1" s="136">
        <v>611</v>
      </c>
      <c r="AEM1" s="136">
        <v>612</v>
      </c>
      <c r="AEN1" s="136">
        <v>613</v>
      </c>
      <c r="AEO1" s="136">
        <v>614</v>
      </c>
      <c r="AEP1" s="136">
        <v>615</v>
      </c>
      <c r="AEQ1" s="136">
        <v>616</v>
      </c>
      <c r="AER1" s="136">
        <v>617</v>
      </c>
      <c r="AES1" s="136">
        <v>618</v>
      </c>
      <c r="AET1" s="136">
        <v>619</v>
      </c>
      <c r="AEU1" s="136">
        <v>620</v>
      </c>
      <c r="AEV1" s="136">
        <v>621</v>
      </c>
      <c r="AEW1" s="136">
        <v>622</v>
      </c>
      <c r="AEX1" s="136">
        <v>623</v>
      </c>
      <c r="AEY1" s="136">
        <v>624</v>
      </c>
      <c r="AEZ1" s="136">
        <v>625</v>
      </c>
      <c r="AFA1" s="136">
        <v>626</v>
      </c>
      <c r="AFB1" s="136">
        <v>627</v>
      </c>
      <c r="AFC1" s="136">
        <v>628</v>
      </c>
      <c r="AFD1" s="136">
        <v>629</v>
      </c>
      <c r="AFE1" s="136">
        <v>630</v>
      </c>
      <c r="AFF1" s="136">
        <v>631</v>
      </c>
      <c r="AFG1" s="136">
        <v>632</v>
      </c>
      <c r="AFH1" s="136">
        <v>633</v>
      </c>
      <c r="AFI1" s="136">
        <v>634</v>
      </c>
      <c r="AFJ1" s="136">
        <v>635</v>
      </c>
      <c r="AFK1" s="136">
        <v>636</v>
      </c>
      <c r="AFL1" s="136">
        <v>637</v>
      </c>
      <c r="AFM1" s="136">
        <v>638</v>
      </c>
      <c r="AFN1" s="136">
        <v>639</v>
      </c>
      <c r="AFO1" s="136">
        <v>640</v>
      </c>
      <c r="AFP1" s="136">
        <v>641</v>
      </c>
      <c r="AFQ1" s="136">
        <v>642</v>
      </c>
      <c r="AFR1" s="136">
        <v>643</v>
      </c>
      <c r="AFS1" s="136">
        <v>644</v>
      </c>
      <c r="AFT1" s="136">
        <v>645</v>
      </c>
      <c r="AFU1" s="136">
        <v>646</v>
      </c>
      <c r="AFV1" s="136">
        <v>647</v>
      </c>
      <c r="AFW1" s="136">
        <v>648</v>
      </c>
      <c r="AFX1" s="136">
        <v>649</v>
      </c>
      <c r="AFY1" s="136">
        <v>650</v>
      </c>
      <c r="AFZ1" s="136">
        <v>651</v>
      </c>
      <c r="AGA1" s="136">
        <v>652</v>
      </c>
      <c r="AGB1" s="136">
        <v>653</v>
      </c>
      <c r="AGC1" s="136">
        <v>654</v>
      </c>
      <c r="AGD1" s="136">
        <v>655</v>
      </c>
      <c r="AGE1" s="136">
        <v>656</v>
      </c>
      <c r="AGF1" s="136">
        <v>657</v>
      </c>
      <c r="AGG1" s="136">
        <v>658</v>
      </c>
      <c r="AGH1" s="136">
        <v>659</v>
      </c>
      <c r="AGI1" s="136">
        <v>660</v>
      </c>
      <c r="AGJ1" s="136">
        <v>661</v>
      </c>
      <c r="AGK1" s="136">
        <v>662</v>
      </c>
      <c r="AGL1" s="136">
        <v>663</v>
      </c>
      <c r="AGM1" s="136">
        <v>664</v>
      </c>
      <c r="AGN1" s="136">
        <v>665</v>
      </c>
      <c r="AGO1" s="136">
        <v>666</v>
      </c>
      <c r="AGP1" s="136">
        <v>667</v>
      </c>
      <c r="AGQ1" s="136">
        <v>668</v>
      </c>
      <c r="AGR1" s="136">
        <v>669</v>
      </c>
      <c r="AGS1" s="136">
        <v>670</v>
      </c>
      <c r="AGT1" s="136">
        <v>671</v>
      </c>
      <c r="AGU1" s="136">
        <v>672</v>
      </c>
      <c r="AGV1" s="136">
        <v>673</v>
      </c>
      <c r="AGW1" s="136">
        <v>674</v>
      </c>
      <c r="AGX1" s="136">
        <v>675</v>
      </c>
      <c r="AGY1" s="136">
        <v>676</v>
      </c>
      <c r="AGZ1" s="136">
        <v>677</v>
      </c>
      <c r="AHA1" s="136">
        <v>678</v>
      </c>
      <c r="AHB1" s="136">
        <v>679</v>
      </c>
      <c r="AHC1" s="136">
        <v>680</v>
      </c>
      <c r="AHD1" s="136">
        <v>681</v>
      </c>
      <c r="AHE1" s="136">
        <v>682</v>
      </c>
      <c r="AHF1" s="136">
        <v>683</v>
      </c>
      <c r="AHG1" s="136">
        <v>684</v>
      </c>
      <c r="AHH1" s="136">
        <v>685</v>
      </c>
      <c r="AHI1" s="136">
        <v>686</v>
      </c>
      <c r="AHJ1" s="136">
        <v>687</v>
      </c>
      <c r="AHK1" s="136">
        <v>688</v>
      </c>
      <c r="AHL1" s="136">
        <v>689</v>
      </c>
      <c r="AHM1" s="136">
        <v>690</v>
      </c>
      <c r="AHN1" s="136">
        <v>691</v>
      </c>
      <c r="AHO1" s="136">
        <v>692</v>
      </c>
      <c r="AHP1" s="136">
        <v>693</v>
      </c>
      <c r="AHQ1" s="136">
        <v>694</v>
      </c>
      <c r="AHR1" s="136">
        <v>695</v>
      </c>
      <c r="AHS1" s="136">
        <v>696</v>
      </c>
      <c r="AHT1" s="136">
        <v>697</v>
      </c>
      <c r="AHU1" s="136">
        <v>698</v>
      </c>
      <c r="AHV1" s="136">
        <v>699</v>
      </c>
      <c r="AHW1" s="136">
        <v>700</v>
      </c>
      <c r="AHX1" s="136">
        <v>701</v>
      </c>
      <c r="AHY1" s="136">
        <v>702</v>
      </c>
      <c r="AHZ1" s="136">
        <v>703</v>
      </c>
      <c r="AIA1" s="136">
        <v>704</v>
      </c>
      <c r="AIB1" s="136">
        <v>705</v>
      </c>
      <c r="AIC1" s="136">
        <v>706</v>
      </c>
      <c r="AID1" s="136">
        <v>707</v>
      </c>
      <c r="AIE1" s="136">
        <v>708</v>
      </c>
      <c r="AIF1" s="136">
        <v>709</v>
      </c>
      <c r="AIG1" s="136">
        <v>710</v>
      </c>
      <c r="AIH1" s="136">
        <v>711</v>
      </c>
      <c r="AII1" s="136">
        <v>712</v>
      </c>
      <c r="AIJ1" s="136">
        <v>713</v>
      </c>
      <c r="AIK1" s="136">
        <v>714</v>
      </c>
      <c r="AIL1" s="136">
        <v>715</v>
      </c>
      <c r="AIM1" s="136">
        <v>716</v>
      </c>
      <c r="AIN1" s="136">
        <v>717</v>
      </c>
      <c r="AIO1" s="136">
        <v>718</v>
      </c>
      <c r="AIP1" s="136">
        <v>719</v>
      </c>
      <c r="AIQ1" s="136">
        <v>720</v>
      </c>
      <c r="AIR1" s="136">
        <v>721</v>
      </c>
      <c r="AIS1" s="136">
        <v>722</v>
      </c>
      <c r="AIT1" s="136">
        <v>723</v>
      </c>
      <c r="AIU1" s="136">
        <v>724</v>
      </c>
      <c r="AIV1" s="136">
        <v>725</v>
      </c>
      <c r="AIW1" s="136">
        <v>726</v>
      </c>
      <c r="AIX1" s="136">
        <v>727</v>
      </c>
      <c r="AIY1" s="136">
        <v>728</v>
      </c>
      <c r="AIZ1" s="136">
        <v>729</v>
      </c>
      <c r="AJA1" s="136">
        <v>730</v>
      </c>
      <c r="AJB1" s="136">
        <v>731</v>
      </c>
      <c r="AJC1" s="136">
        <v>732</v>
      </c>
      <c r="AJD1" s="136">
        <v>733</v>
      </c>
      <c r="AJE1" s="136">
        <v>734</v>
      </c>
      <c r="AJF1" s="136">
        <v>735</v>
      </c>
      <c r="AJG1" s="136">
        <v>736</v>
      </c>
      <c r="AJH1" s="136">
        <v>737</v>
      </c>
      <c r="AJI1" s="136">
        <v>738</v>
      </c>
      <c r="AJJ1" s="136">
        <v>739</v>
      </c>
      <c r="AJK1" s="136">
        <v>740</v>
      </c>
      <c r="AJL1" s="136">
        <v>741</v>
      </c>
      <c r="AJM1" s="136">
        <v>742</v>
      </c>
      <c r="AJN1" s="136">
        <v>743</v>
      </c>
      <c r="AJO1" s="136">
        <v>744</v>
      </c>
      <c r="AJP1" s="136">
        <v>745</v>
      </c>
      <c r="AJQ1" s="136">
        <v>746</v>
      </c>
      <c r="AJR1" s="136">
        <v>747</v>
      </c>
      <c r="AJS1" s="136">
        <v>748</v>
      </c>
      <c r="AJT1" s="136">
        <v>749</v>
      </c>
      <c r="AJU1" s="136">
        <v>750</v>
      </c>
      <c r="AJV1" s="136">
        <v>751</v>
      </c>
      <c r="AJW1" s="136">
        <v>752</v>
      </c>
      <c r="AJX1" s="136">
        <v>753</v>
      </c>
      <c r="AJY1" s="136">
        <v>754</v>
      </c>
      <c r="AJZ1" s="136">
        <v>755</v>
      </c>
      <c r="AKA1" s="136">
        <v>756</v>
      </c>
      <c r="AKB1" s="136">
        <v>757</v>
      </c>
      <c r="AKC1" s="136">
        <v>758</v>
      </c>
      <c r="AKD1" s="136">
        <v>759</v>
      </c>
      <c r="AKE1" s="136">
        <v>760</v>
      </c>
      <c r="AKF1" s="136">
        <v>761</v>
      </c>
      <c r="AKG1" s="136">
        <v>762</v>
      </c>
      <c r="AKH1" s="136">
        <v>763</v>
      </c>
      <c r="AKI1" s="136">
        <v>764</v>
      </c>
      <c r="AKJ1" s="136">
        <v>765</v>
      </c>
      <c r="AKK1" s="136">
        <v>766</v>
      </c>
      <c r="AKL1" s="136">
        <v>767</v>
      </c>
      <c r="AKM1" s="136">
        <v>768</v>
      </c>
      <c r="AKN1" s="136">
        <v>769</v>
      </c>
      <c r="AKO1" s="136">
        <v>770</v>
      </c>
      <c r="AKP1" s="136">
        <v>771</v>
      </c>
      <c r="AKQ1" s="136">
        <v>772</v>
      </c>
      <c r="AKR1" s="136">
        <v>773</v>
      </c>
      <c r="AKS1" s="136">
        <v>774</v>
      </c>
      <c r="AKT1" s="136">
        <v>775</v>
      </c>
      <c r="AKU1" s="136">
        <v>776</v>
      </c>
      <c r="AKV1" s="136">
        <v>777</v>
      </c>
      <c r="AKW1" s="136">
        <v>778</v>
      </c>
      <c r="AKX1" s="136">
        <v>779</v>
      </c>
      <c r="AKY1" s="136">
        <v>780</v>
      </c>
      <c r="AKZ1" s="136">
        <v>781</v>
      </c>
      <c r="ALA1" s="136">
        <v>782</v>
      </c>
      <c r="ALB1" s="136">
        <v>783</v>
      </c>
      <c r="ALC1" s="136">
        <v>784</v>
      </c>
      <c r="ALD1" s="136">
        <v>785</v>
      </c>
      <c r="ALE1" s="136">
        <v>786</v>
      </c>
      <c r="ALF1" s="136">
        <v>787</v>
      </c>
      <c r="ALG1" s="136">
        <v>788</v>
      </c>
      <c r="ALH1" s="136">
        <v>789</v>
      </c>
      <c r="ALI1" s="136">
        <v>790</v>
      </c>
      <c r="ALJ1" s="136">
        <v>791</v>
      </c>
      <c r="ALK1" s="136">
        <v>792</v>
      </c>
      <c r="ALL1" s="136">
        <v>793</v>
      </c>
      <c r="ALM1" s="136">
        <v>794</v>
      </c>
      <c r="ALN1" s="136">
        <v>795</v>
      </c>
      <c r="ALO1" s="136">
        <v>796</v>
      </c>
      <c r="ALP1" s="136">
        <v>797</v>
      </c>
      <c r="ALQ1" s="136">
        <v>798</v>
      </c>
      <c r="ALR1" s="136">
        <v>799</v>
      </c>
      <c r="ALS1" s="136">
        <v>800</v>
      </c>
      <c r="ALT1" s="136">
        <v>801</v>
      </c>
      <c r="ALU1" s="136">
        <v>802</v>
      </c>
      <c r="ALV1" s="136">
        <v>803</v>
      </c>
      <c r="ALW1" s="136">
        <v>804</v>
      </c>
      <c r="ALX1" s="136">
        <v>805</v>
      </c>
      <c r="ALY1" s="136">
        <v>806</v>
      </c>
      <c r="ALZ1" s="136">
        <v>807</v>
      </c>
      <c r="AMA1" s="136">
        <v>808</v>
      </c>
      <c r="AMB1" s="136">
        <v>809</v>
      </c>
      <c r="AMC1" s="136">
        <v>810</v>
      </c>
      <c r="AMD1" s="136">
        <v>811</v>
      </c>
      <c r="AME1" s="136">
        <v>812</v>
      </c>
      <c r="AMF1" s="136">
        <v>813</v>
      </c>
      <c r="AMG1" s="136">
        <v>814</v>
      </c>
      <c r="AMH1" s="136">
        <v>815</v>
      </c>
      <c r="AMI1" s="136">
        <v>816</v>
      </c>
      <c r="AMJ1" s="136">
        <v>817</v>
      </c>
      <c r="AMK1" s="136">
        <v>818</v>
      </c>
      <c r="AML1" s="136">
        <v>819</v>
      </c>
      <c r="AMM1" s="136">
        <v>820</v>
      </c>
      <c r="AMN1" s="136">
        <v>821</v>
      </c>
      <c r="AMO1" s="136">
        <v>822</v>
      </c>
      <c r="AMP1" s="136">
        <v>823</v>
      </c>
      <c r="AMQ1" s="136">
        <v>824</v>
      </c>
      <c r="AMR1" s="136">
        <v>825</v>
      </c>
      <c r="AMS1" s="136">
        <v>826</v>
      </c>
      <c r="AMT1" s="136">
        <v>827</v>
      </c>
      <c r="AMU1" s="136">
        <v>828</v>
      </c>
      <c r="AMV1" s="136">
        <v>829</v>
      </c>
      <c r="AMW1" s="136">
        <v>830</v>
      </c>
      <c r="AMX1" s="136">
        <v>831</v>
      </c>
      <c r="AMY1" s="136">
        <v>832</v>
      </c>
      <c r="AMZ1" s="136">
        <v>833</v>
      </c>
      <c r="ANA1" s="136">
        <v>834</v>
      </c>
      <c r="ANB1" s="136">
        <v>835</v>
      </c>
      <c r="ANC1" s="136">
        <v>836</v>
      </c>
      <c r="AND1" s="136">
        <v>837</v>
      </c>
      <c r="ANE1" s="136">
        <v>838</v>
      </c>
      <c r="ANF1" s="136">
        <v>839</v>
      </c>
      <c r="ANG1" s="136">
        <v>840</v>
      </c>
      <c r="ANH1" s="136">
        <v>841</v>
      </c>
      <c r="ANI1" s="136">
        <v>842</v>
      </c>
      <c r="ANJ1" s="136">
        <v>843</v>
      </c>
      <c r="ANK1" s="136">
        <v>844</v>
      </c>
      <c r="ANL1" s="136">
        <v>845</v>
      </c>
      <c r="ANM1" s="136">
        <v>846</v>
      </c>
      <c r="ANN1" s="136">
        <v>847</v>
      </c>
      <c r="ANO1" s="136">
        <v>848</v>
      </c>
      <c r="ANP1" s="136">
        <v>849</v>
      </c>
      <c r="ANQ1" s="136">
        <v>850</v>
      </c>
      <c r="ANR1" s="136">
        <v>851</v>
      </c>
      <c r="ANS1" s="136">
        <v>852</v>
      </c>
      <c r="ANT1" s="136">
        <v>853</v>
      </c>
      <c r="ANU1" s="136">
        <v>854</v>
      </c>
      <c r="ANV1" s="136">
        <v>855</v>
      </c>
      <c r="ANW1" s="136">
        <v>856</v>
      </c>
      <c r="ANX1" s="136">
        <v>857</v>
      </c>
      <c r="ANY1" s="136">
        <v>858</v>
      </c>
      <c r="ANZ1" s="136">
        <v>859</v>
      </c>
      <c r="AOA1" s="136">
        <v>860</v>
      </c>
      <c r="AOB1" s="136">
        <v>861</v>
      </c>
      <c r="AOC1" s="136">
        <v>862</v>
      </c>
      <c r="AOD1" s="136">
        <v>863</v>
      </c>
      <c r="AOE1" s="136">
        <v>864</v>
      </c>
      <c r="AOF1" s="136">
        <v>865</v>
      </c>
      <c r="AOG1" s="136">
        <v>866</v>
      </c>
      <c r="AOH1" s="136">
        <v>867</v>
      </c>
      <c r="AOI1" s="136">
        <v>868</v>
      </c>
      <c r="AOJ1" s="136">
        <v>869</v>
      </c>
      <c r="AOK1" s="136">
        <v>870</v>
      </c>
      <c r="AOL1" s="136">
        <v>871</v>
      </c>
      <c r="AOM1" s="136">
        <v>872</v>
      </c>
      <c r="AON1" s="136">
        <v>873</v>
      </c>
      <c r="AOO1" s="136">
        <v>874</v>
      </c>
      <c r="AOP1" s="136">
        <v>875</v>
      </c>
      <c r="AOQ1" s="136">
        <v>876</v>
      </c>
      <c r="AOR1" s="136">
        <v>877</v>
      </c>
      <c r="AOS1" s="136">
        <v>878</v>
      </c>
      <c r="AOT1" s="136">
        <v>879</v>
      </c>
      <c r="AOU1" s="136">
        <v>880</v>
      </c>
      <c r="AOV1" s="136">
        <v>881</v>
      </c>
      <c r="AOW1" s="136">
        <v>882</v>
      </c>
      <c r="AOX1" s="136">
        <v>883</v>
      </c>
      <c r="AOY1" s="136">
        <v>884</v>
      </c>
      <c r="AOZ1" s="136">
        <v>885</v>
      </c>
      <c r="APA1" s="136">
        <v>886</v>
      </c>
      <c r="APB1" s="136">
        <v>887</v>
      </c>
      <c r="APC1" s="136">
        <v>888</v>
      </c>
      <c r="APD1" s="136">
        <v>889</v>
      </c>
      <c r="APE1" s="136">
        <v>890</v>
      </c>
      <c r="APF1" s="136">
        <v>891</v>
      </c>
      <c r="APG1" s="136">
        <v>892</v>
      </c>
      <c r="APH1" s="136">
        <v>893</v>
      </c>
      <c r="API1" s="136">
        <v>894</v>
      </c>
      <c r="APJ1" s="136">
        <v>895</v>
      </c>
      <c r="APK1" s="136">
        <v>896</v>
      </c>
      <c r="APL1" s="136">
        <v>897</v>
      </c>
      <c r="APM1" s="136">
        <v>898</v>
      </c>
      <c r="APN1" s="136">
        <v>899</v>
      </c>
      <c r="APO1" s="136">
        <v>900</v>
      </c>
      <c r="APP1" s="136">
        <v>901</v>
      </c>
      <c r="APQ1" s="136">
        <v>902</v>
      </c>
      <c r="APR1" s="136">
        <v>903</v>
      </c>
      <c r="APS1" s="136">
        <v>904</v>
      </c>
      <c r="APT1" s="136">
        <v>905</v>
      </c>
      <c r="APU1" s="136">
        <v>906</v>
      </c>
      <c r="APV1" s="136">
        <v>907</v>
      </c>
      <c r="APW1" s="136">
        <v>908</v>
      </c>
      <c r="APX1" s="136">
        <v>909</v>
      </c>
      <c r="APY1" s="136">
        <v>910</v>
      </c>
      <c r="APZ1" s="136">
        <v>911</v>
      </c>
      <c r="AQA1" s="136">
        <v>912</v>
      </c>
      <c r="AQB1" s="136">
        <v>913</v>
      </c>
      <c r="AQC1" s="136">
        <v>914</v>
      </c>
      <c r="AQD1" s="136">
        <v>915</v>
      </c>
      <c r="AQE1" s="136">
        <v>916</v>
      </c>
      <c r="AQF1" s="136">
        <v>917</v>
      </c>
      <c r="AQG1" s="136">
        <v>918</v>
      </c>
      <c r="AQH1" s="136">
        <v>919</v>
      </c>
      <c r="AQI1" s="136">
        <v>920</v>
      </c>
      <c r="AQJ1" s="136">
        <v>921</v>
      </c>
      <c r="AQK1" s="136">
        <v>922</v>
      </c>
      <c r="AQL1" s="136">
        <v>923</v>
      </c>
      <c r="AQM1" s="136">
        <v>924</v>
      </c>
      <c r="AQN1" s="136">
        <v>925</v>
      </c>
      <c r="AQO1" s="136">
        <v>926</v>
      </c>
      <c r="AQP1" s="136">
        <v>927</v>
      </c>
      <c r="AQQ1" s="136">
        <v>928</v>
      </c>
      <c r="AQR1" s="136">
        <v>929</v>
      </c>
      <c r="AQS1" s="136">
        <v>930</v>
      </c>
      <c r="AQT1" s="136">
        <v>931</v>
      </c>
      <c r="AQU1" s="136">
        <v>932</v>
      </c>
      <c r="AQV1" s="136">
        <v>933</v>
      </c>
      <c r="AQW1" s="136">
        <v>934</v>
      </c>
      <c r="AQX1" s="136">
        <v>935</v>
      </c>
      <c r="AQY1" s="136">
        <v>936</v>
      </c>
      <c r="AQZ1" s="136">
        <v>937</v>
      </c>
      <c r="ARA1" s="136">
        <v>938</v>
      </c>
      <c r="ARB1" s="136">
        <v>939</v>
      </c>
      <c r="ARC1" s="136">
        <v>940</v>
      </c>
      <c r="ARD1" s="136">
        <v>941</v>
      </c>
      <c r="ARE1" s="136">
        <v>942</v>
      </c>
      <c r="ARF1" s="136">
        <v>943</v>
      </c>
      <c r="ARG1" s="136">
        <v>944</v>
      </c>
      <c r="ARH1" s="136">
        <v>945</v>
      </c>
      <c r="ARI1" s="136">
        <v>946</v>
      </c>
      <c r="ARJ1" s="136">
        <v>947</v>
      </c>
      <c r="ARK1" s="136">
        <v>948</v>
      </c>
      <c r="ARL1" s="136">
        <v>949</v>
      </c>
      <c r="ARM1" s="136">
        <v>950</v>
      </c>
      <c r="ARN1" s="136">
        <v>951</v>
      </c>
      <c r="ARO1" s="136">
        <v>952</v>
      </c>
      <c r="ARP1" s="136">
        <v>953</v>
      </c>
      <c r="ARQ1" s="136">
        <v>954</v>
      </c>
      <c r="ARR1" s="136">
        <v>955</v>
      </c>
      <c r="ARS1" s="136">
        <v>956</v>
      </c>
      <c r="ART1" s="136">
        <v>957</v>
      </c>
      <c r="ARU1" s="136">
        <v>958</v>
      </c>
      <c r="ARV1" s="136">
        <v>959</v>
      </c>
      <c r="ARW1" s="136">
        <v>960</v>
      </c>
      <c r="ARX1" s="136">
        <v>961</v>
      </c>
      <c r="ARY1" s="136">
        <v>962</v>
      </c>
      <c r="ARZ1" s="136">
        <v>963</v>
      </c>
      <c r="ASA1" s="136">
        <v>964</v>
      </c>
      <c r="ASB1" s="136">
        <v>965</v>
      </c>
      <c r="ASC1" s="136">
        <v>966</v>
      </c>
      <c r="ASD1" s="136">
        <v>967</v>
      </c>
      <c r="ASE1" s="136">
        <v>968</v>
      </c>
      <c r="ASF1" s="136">
        <v>969</v>
      </c>
      <c r="ASG1" s="136">
        <v>970</v>
      </c>
      <c r="ASH1" s="136">
        <v>971</v>
      </c>
      <c r="ASI1" s="136">
        <v>972</v>
      </c>
      <c r="ASJ1" s="136">
        <v>973</v>
      </c>
      <c r="ASK1" s="136">
        <v>974</v>
      </c>
      <c r="ASL1" s="136">
        <v>975</v>
      </c>
      <c r="ASM1" s="136">
        <v>976</v>
      </c>
      <c r="ASN1" s="136">
        <v>977</v>
      </c>
      <c r="ASO1" s="136">
        <v>978</v>
      </c>
      <c r="ASP1" s="136">
        <v>979</v>
      </c>
      <c r="ASQ1" s="136">
        <v>980</v>
      </c>
      <c r="ASR1" s="136">
        <v>981</v>
      </c>
      <c r="ASS1" s="136">
        <v>982</v>
      </c>
      <c r="AST1" s="136">
        <v>983</v>
      </c>
      <c r="ASU1" s="136">
        <v>984</v>
      </c>
      <c r="ASV1" s="136">
        <v>985</v>
      </c>
      <c r="ASW1" s="136">
        <v>986</v>
      </c>
      <c r="ASX1" s="136">
        <v>987</v>
      </c>
      <c r="ASY1" s="136">
        <v>988</v>
      </c>
      <c r="ASZ1" s="136">
        <v>989</v>
      </c>
      <c r="ATA1" s="136">
        <v>990</v>
      </c>
      <c r="ATB1" s="136">
        <v>991</v>
      </c>
      <c r="ATC1" s="136">
        <v>992</v>
      </c>
      <c r="ATD1" s="136">
        <v>993</v>
      </c>
      <c r="ATE1" s="136">
        <v>994</v>
      </c>
      <c r="ATF1" s="136">
        <v>995</v>
      </c>
      <c r="ATG1" s="136">
        <v>996</v>
      </c>
      <c r="ATH1" s="136">
        <v>997</v>
      </c>
      <c r="ATI1" s="136">
        <v>998</v>
      </c>
      <c r="ATJ1" s="136">
        <v>999</v>
      </c>
      <c r="ATK1" s="136">
        <v>1000</v>
      </c>
      <c r="ATL1" s="136">
        <v>1001</v>
      </c>
      <c r="ATM1" s="136">
        <v>1002</v>
      </c>
      <c r="ATN1" s="136">
        <v>1003</v>
      </c>
      <c r="ATO1" s="136">
        <v>1004</v>
      </c>
      <c r="ATP1" s="136">
        <v>1005</v>
      </c>
      <c r="ATQ1" s="136">
        <v>1006</v>
      </c>
      <c r="ATR1" s="136">
        <v>1007</v>
      </c>
      <c r="ATS1" s="136">
        <v>1008</v>
      </c>
      <c r="ATT1" s="136">
        <v>1009</v>
      </c>
      <c r="ATU1" s="136">
        <v>1010</v>
      </c>
      <c r="ATV1" s="136">
        <v>1011</v>
      </c>
      <c r="ATW1" s="136">
        <v>1012</v>
      </c>
      <c r="ATX1" s="136">
        <v>1013</v>
      </c>
      <c r="ATY1" s="136">
        <v>1014</v>
      </c>
      <c r="ATZ1" s="136">
        <v>1015</v>
      </c>
      <c r="AUA1" s="136">
        <v>1016</v>
      </c>
      <c r="AUB1" s="136">
        <v>1017</v>
      </c>
      <c r="AUC1" s="136">
        <v>1018</v>
      </c>
      <c r="AUD1" s="136">
        <v>1019</v>
      </c>
      <c r="AUE1" s="136">
        <v>1020</v>
      </c>
      <c r="AUF1" s="136">
        <v>1021</v>
      </c>
      <c r="AUG1" s="136">
        <v>1022</v>
      </c>
      <c r="AUH1" s="136">
        <v>1023</v>
      </c>
      <c r="AUI1" s="136">
        <v>1024</v>
      </c>
      <c r="AUJ1" s="136">
        <v>1025</v>
      </c>
      <c r="AUK1" s="136">
        <v>1026</v>
      </c>
      <c r="AUL1" s="136">
        <v>1027</v>
      </c>
      <c r="AUM1" s="136">
        <v>1028</v>
      </c>
      <c r="AUN1" s="136">
        <v>1029</v>
      </c>
      <c r="AUO1" s="136">
        <v>1030</v>
      </c>
      <c r="AUP1" s="136">
        <v>1031</v>
      </c>
      <c r="AUQ1" s="136">
        <v>1032</v>
      </c>
      <c r="AUR1" s="136">
        <v>1033</v>
      </c>
      <c r="AUS1" s="136">
        <v>1034</v>
      </c>
      <c r="AUT1" s="136">
        <v>1035</v>
      </c>
      <c r="AUU1" s="136">
        <v>1036</v>
      </c>
      <c r="AUV1" s="136">
        <v>1037</v>
      </c>
      <c r="AUW1" s="136">
        <v>1038</v>
      </c>
      <c r="AUX1" s="136">
        <v>1039</v>
      </c>
      <c r="AUY1" s="136">
        <v>1040</v>
      </c>
      <c r="AUZ1" s="136">
        <v>1041</v>
      </c>
      <c r="AVA1" s="136">
        <v>1042</v>
      </c>
      <c r="AVB1" s="136">
        <v>1043</v>
      </c>
      <c r="AVC1" s="136">
        <v>1044</v>
      </c>
      <c r="AVD1" s="136">
        <v>1045</v>
      </c>
      <c r="AVE1" s="136">
        <v>1046</v>
      </c>
      <c r="AVF1" s="136">
        <v>1047</v>
      </c>
      <c r="AVG1" s="136">
        <v>1048</v>
      </c>
      <c r="AVH1" s="136">
        <v>1049</v>
      </c>
      <c r="AVI1" s="136">
        <v>1050</v>
      </c>
      <c r="AVJ1" s="136">
        <v>1051</v>
      </c>
      <c r="AVK1" s="136">
        <v>1052</v>
      </c>
      <c r="AVL1" s="136">
        <v>1053</v>
      </c>
      <c r="AVM1" s="136">
        <v>1054</v>
      </c>
      <c r="AVN1" s="136">
        <v>1055</v>
      </c>
      <c r="AVO1" s="136">
        <v>1056</v>
      </c>
      <c r="AVP1" s="136">
        <v>1057</v>
      </c>
      <c r="AVQ1" s="136">
        <v>1058</v>
      </c>
      <c r="AVR1" s="136">
        <v>1059</v>
      </c>
      <c r="AVS1" s="136">
        <v>1060</v>
      </c>
      <c r="AVT1" s="136">
        <v>1061</v>
      </c>
      <c r="AVU1" s="136">
        <v>1062</v>
      </c>
      <c r="AVV1" s="136">
        <v>1063</v>
      </c>
      <c r="AVW1" s="136">
        <v>1064</v>
      </c>
      <c r="AVX1" s="136">
        <v>1065</v>
      </c>
      <c r="AVY1" s="136">
        <v>1066</v>
      </c>
      <c r="AVZ1" s="136">
        <v>1067</v>
      </c>
      <c r="AWA1" s="136">
        <v>1068</v>
      </c>
      <c r="AWB1" s="136">
        <v>1069</v>
      </c>
      <c r="AWC1" s="136">
        <v>1070</v>
      </c>
      <c r="AWD1" s="136">
        <v>1071</v>
      </c>
      <c r="AWE1" s="136">
        <v>1072</v>
      </c>
      <c r="AWF1" s="136">
        <v>1073</v>
      </c>
      <c r="AWG1" s="136">
        <v>1074</v>
      </c>
      <c r="AWH1" s="136">
        <v>1075</v>
      </c>
      <c r="AWI1" s="136">
        <v>1076</v>
      </c>
      <c r="AWJ1" s="136">
        <v>1077</v>
      </c>
      <c r="AWK1" s="136">
        <v>1078</v>
      </c>
      <c r="AWL1" s="136">
        <v>1079</v>
      </c>
      <c r="AWM1" s="136">
        <v>1080</v>
      </c>
      <c r="AWN1" s="136">
        <v>1081</v>
      </c>
      <c r="AWO1" s="136">
        <v>1082</v>
      </c>
      <c r="AWP1" s="136">
        <v>1083</v>
      </c>
      <c r="AWQ1" s="136">
        <v>1084</v>
      </c>
      <c r="AWR1" s="136">
        <v>1085</v>
      </c>
      <c r="AWS1" s="136">
        <v>1086</v>
      </c>
      <c r="AWT1" s="136">
        <v>1087</v>
      </c>
      <c r="AWU1" s="136">
        <v>1088</v>
      </c>
      <c r="AWV1" s="136">
        <v>1089</v>
      </c>
      <c r="AWW1" s="136">
        <v>1090</v>
      </c>
      <c r="AWX1" s="136">
        <v>1091</v>
      </c>
      <c r="AWY1" s="136">
        <v>1092</v>
      </c>
      <c r="AWZ1" s="136">
        <v>1093</v>
      </c>
      <c r="AXA1" s="136">
        <v>1094</v>
      </c>
      <c r="AXB1" s="136">
        <v>1095</v>
      </c>
      <c r="AXC1" s="136">
        <v>1096</v>
      </c>
      <c r="AXD1" s="136">
        <v>1097</v>
      </c>
      <c r="AXE1" s="136">
        <v>1098</v>
      </c>
      <c r="AXF1" s="136">
        <v>1099</v>
      </c>
      <c r="AXG1" s="136">
        <v>1100</v>
      </c>
      <c r="AXH1" s="136">
        <v>1101</v>
      </c>
      <c r="AXI1" s="136">
        <v>1102</v>
      </c>
      <c r="AXJ1" s="136">
        <v>1103</v>
      </c>
      <c r="AXK1" s="136">
        <v>1104</v>
      </c>
      <c r="AXL1" s="136">
        <v>1105</v>
      </c>
      <c r="AXM1" s="136">
        <v>1106</v>
      </c>
      <c r="AXN1" s="136">
        <v>1107</v>
      </c>
      <c r="AXO1" s="136">
        <v>1108</v>
      </c>
      <c r="AXP1" s="136">
        <v>1109</v>
      </c>
      <c r="AXQ1" s="136">
        <v>1110</v>
      </c>
      <c r="AXR1" s="136">
        <v>1111</v>
      </c>
      <c r="AXS1" s="136">
        <v>1112</v>
      </c>
      <c r="AXT1" s="136">
        <v>1113</v>
      </c>
      <c r="AXU1" s="136">
        <v>1114</v>
      </c>
      <c r="AXV1" s="136">
        <v>1115</v>
      </c>
      <c r="AXW1" s="136">
        <v>1116</v>
      </c>
      <c r="AXX1" s="136">
        <v>1117</v>
      </c>
      <c r="AXY1" s="136">
        <v>1118</v>
      </c>
      <c r="AXZ1" s="136">
        <v>1119</v>
      </c>
      <c r="AYA1" s="136">
        <v>1120</v>
      </c>
      <c r="AYB1" s="136">
        <v>1121</v>
      </c>
      <c r="AYC1" s="136">
        <v>1122</v>
      </c>
      <c r="AYD1" s="136">
        <v>1123</v>
      </c>
      <c r="AYE1" s="136">
        <v>1124</v>
      </c>
      <c r="AYF1" s="136">
        <v>1125</v>
      </c>
      <c r="AYG1" s="136">
        <v>1126</v>
      </c>
      <c r="AYH1" s="136">
        <v>1127</v>
      </c>
      <c r="AYI1" s="136">
        <v>1128</v>
      </c>
      <c r="AYJ1" s="136">
        <v>1129</v>
      </c>
      <c r="AYK1" s="136">
        <v>1130</v>
      </c>
      <c r="AYL1" s="136">
        <v>1131</v>
      </c>
      <c r="AYM1" s="136">
        <v>1132</v>
      </c>
      <c r="AYN1" s="136">
        <v>1133</v>
      </c>
      <c r="AYO1" s="136">
        <v>1134</v>
      </c>
      <c r="AYP1" s="136">
        <v>1135</v>
      </c>
      <c r="AYQ1" s="136">
        <v>1136</v>
      </c>
      <c r="AYR1" s="136">
        <v>1137</v>
      </c>
      <c r="AYS1" s="136">
        <v>1138</v>
      </c>
      <c r="AYT1" s="136">
        <v>1139</v>
      </c>
      <c r="AYU1" s="136">
        <v>1140</v>
      </c>
      <c r="AYV1" s="136">
        <v>1141</v>
      </c>
      <c r="AYW1" s="136">
        <v>1142</v>
      </c>
      <c r="AYX1" s="136">
        <v>1143</v>
      </c>
      <c r="AYY1" s="136">
        <v>1144</v>
      </c>
      <c r="AYZ1" s="136">
        <v>1145</v>
      </c>
      <c r="AZA1" s="136">
        <v>1146</v>
      </c>
      <c r="AZB1" s="136">
        <v>1147</v>
      </c>
      <c r="AZC1" s="136">
        <v>1148</v>
      </c>
      <c r="AZD1" s="136">
        <v>1149</v>
      </c>
      <c r="AZE1" s="136">
        <v>1150</v>
      </c>
      <c r="AZF1" s="136">
        <v>1151</v>
      </c>
      <c r="AZG1" s="136">
        <v>1152</v>
      </c>
      <c r="AZH1" s="136">
        <v>1153</v>
      </c>
      <c r="AZI1" s="136">
        <v>1154</v>
      </c>
      <c r="AZJ1" s="136">
        <v>1155</v>
      </c>
      <c r="AZK1" s="136">
        <v>1156</v>
      </c>
      <c r="AZL1" s="136">
        <v>1157</v>
      </c>
      <c r="AZM1" s="136">
        <v>1158</v>
      </c>
      <c r="AZN1" s="136">
        <v>1159</v>
      </c>
      <c r="AZO1" s="136">
        <v>1160</v>
      </c>
      <c r="AZP1" s="136">
        <v>1161</v>
      </c>
      <c r="AZQ1" s="136">
        <v>1162</v>
      </c>
      <c r="AZR1" s="136">
        <v>1163</v>
      </c>
      <c r="AZS1" s="136">
        <v>1164</v>
      </c>
      <c r="AZT1" s="136">
        <v>1165</v>
      </c>
      <c r="AZU1" s="136">
        <v>1166</v>
      </c>
      <c r="AZV1" s="136">
        <v>1167</v>
      </c>
      <c r="AZW1" s="136">
        <v>1168</v>
      </c>
      <c r="AZX1" s="136">
        <v>1169</v>
      </c>
      <c r="AZY1" s="136">
        <v>1170</v>
      </c>
      <c r="AZZ1" s="136">
        <v>1171</v>
      </c>
      <c r="BAA1" s="136">
        <v>1172</v>
      </c>
      <c r="BAB1" s="136">
        <v>1173</v>
      </c>
      <c r="BAC1" s="136">
        <v>1174</v>
      </c>
      <c r="BAD1" s="136">
        <v>1175</v>
      </c>
      <c r="BAE1" s="136">
        <v>1176</v>
      </c>
      <c r="BAF1" s="136">
        <v>1177</v>
      </c>
      <c r="BAG1" s="136">
        <v>1178</v>
      </c>
      <c r="BAH1" s="136">
        <v>1179</v>
      </c>
      <c r="BAI1" s="136">
        <v>1180</v>
      </c>
      <c r="BAJ1" s="136">
        <v>1181</v>
      </c>
      <c r="BAK1" s="136">
        <v>1182</v>
      </c>
      <c r="BAL1" s="136">
        <v>1183</v>
      </c>
      <c r="BAM1" s="136">
        <v>1184</v>
      </c>
      <c r="BAN1" s="136">
        <v>1185</v>
      </c>
      <c r="BAO1" s="136">
        <v>1186</v>
      </c>
      <c r="BAP1" s="136">
        <v>1187</v>
      </c>
      <c r="BAQ1" s="136">
        <v>1188</v>
      </c>
      <c r="BAR1" s="136">
        <v>1189</v>
      </c>
      <c r="BAS1" s="136">
        <v>1190</v>
      </c>
      <c r="BAT1" s="136">
        <v>1191</v>
      </c>
      <c r="BAU1" s="136">
        <v>1192</v>
      </c>
      <c r="BAV1" s="136">
        <v>1193</v>
      </c>
      <c r="BAW1" s="136">
        <v>1194</v>
      </c>
      <c r="BAX1" s="136">
        <v>1195</v>
      </c>
      <c r="BAY1" s="136">
        <v>1196</v>
      </c>
      <c r="BAZ1" s="136">
        <v>1197</v>
      </c>
      <c r="BBA1" s="136">
        <v>1198</v>
      </c>
      <c r="BBB1" s="136">
        <v>1199</v>
      </c>
      <c r="BBC1" s="136">
        <v>1200</v>
      </c>
      <c r="BBD1" s="136">
        <v>1201</v>
      </c>
      <c r="BBE1" s="136">
        <v>1202</v>
      </c>
      <c r="BBF1" s="136">
        <v>1203</v>
      </c>
      <c r="BBG1" s="136">
        <v>1204</v>
      </c>
      <c r="BBH1" s="136">
        <v>1205</v>
      </c>
      <c r="BBI1" s="136">
        <v>1206</v>
      </c>
      <c r="BBJ1" s="136">
        <v>1207</v>
      </c>
      <c r="BBK1" s="136">
        <v>1208</v>
      </c>
      <c r="BBL1" s="136">
        <v>1209</v>
      </c>
      <c r="BBM1" s="136">
        <v>1210</v>
      </c>
      <c r="BBN1" s="136">
        <v>1211</v>
      </c>
      <c r="BBO1" s="136">
        <v>1212</v>
      </c>
      <c r="BBP1" s="136">
        <v>1213</v>
      </c>
      <c r="BBQ1" s="136">
        <v>1214</v>
      </c>
      <c r="BBR1" s="136">
        <v>1215</v>
      </c>
      <c r="BBS1" s="136">
        <v>1216</v>
      </c>
      <c r="BBT1" s="136">
        <v>1217</v>
      </c>
      <c r="BBU1" s="136">
        <v>1218</v>
      </c>
      <c r="BBV1" s="136">
        <v>1219</v>
      </c>
      <c r="BBW1" s="136">
        <v>1220</v>
      </c>
      <c r="BBX1" s="136">
        <v>1221</v>
      </c>
      <c r="BBY1" s="136">
        <v>1222</v>
      </c>
      <c r="BBZ1" s="136">
        <v>1223</v>
      </c>
      <c r="BCA1" s="136">
        <v>1224</v>
      </c>
      <c r="BCB1" s="136">
        <v>1225</v>
      </c>
      <c r="BCC1" s="136">
        <v>1226</v>
      </c>
      <c r="BCD1" s="136">
        <v>1227</v>
      </c>
      <c r="BCE1" s="136">
        <v>1228</v>
      </c>
      <c r="BCF1" s="136">
        <v>1229</v>
      </c>
      <c r="BCG1" s="136">
        <v>1230</v>
      </c>
      <c r="BCH1" s="136">
        <v>1231</v>
      </c>
      <c r="BCI1" s="136">
        <v>1232</v>
      </c>
      <c r="BCJ1" s="136">
        <v>1233</v>
      </c>
      <c r="BCK1" s="136">
        <v>1234</v>
      </c>
      <c r="BCL1" s="136">
        <v>1235</v>
      </c>
      <c r="BCM1" s="136">
        <v>1236</v>
      </c>
      <c r="BCN1" s="136">
        <v>1237</v>
      </c>
      <c r="BCO1" s="136">
        <v>1238</v>
      </c>
      <c r="BCP1" s="136">
        <v>1239</v>
      </c>
      <c r="BCQ1" s="136">
        <v>1240</v>
      </c>
      <c r="BCR1" s="136">
        <v>1241</v>
      </c>
      <c r="BCS1" s="136">
        <v>1242</v>
      </c>
      <c r="BCT1" s="136">
        <v>1243</v>
      </c>
      <c r="BCU1" s="136">
        <v>1244</v>
      </c>
      <c r="BCV1" s="136">
        <v>1245</v>
      </c>
      <c r="BCW1" s="136">
        <v>1246</v>
      </c>
      <c r="BCX1" s="136">
        <v>1247</v>
      </c>
      <c r="BCY1" s="136">
        <v>1248</v>
      </c>
      <c r="BCZ1" s="136">
        <v>1249</v>
      </c>
      <c r="BDA1" s="136">
        <v>1250</v>
      </c>
      <c r="BDB1" s="136">
        <v>1251</v>
      </c>
      <c r="BDC1" s="136">
        <v>1252</v>
      </c>
      <c r="BDD1" s="136">
        <v>1253</v>
      </c>
      <c r="BDE1" s="136">
        <v>1254</v>
      </c>
      <c r="BDF1" s="136">
        <v>1255</v>
      </c>
      <c r="BDG1" s="136">
        <v>1256</v>
      </c>
      <c r="BDH1" s="136">
        <v>1257</v>
      </c>
      <c r="BDI1" s="136">
        <v>1258</v>
      </c>
      <c r="BDJ1" s="136">
        <v>1259</v>
      </c>
      <c r="BDK1" s="136">
        <v>1260</v>
      </c>
      <c r="BDL1" s="136">
        <v>1261</v>
      </c>
      <c r="BDM1" s="136">
        <v>1262</v>
      </c>
      <c r="BDN1" s="136">
        <v>1263</v>
      </c>
      <c r="BDO1" s="136">
        <v>1264</v>
      </c>
      <c r="BDP1" s="136">
        <v>1265</v>
      </c>
      <c r="BDQ1" s="136">
        <v>1266</v>
      </c>
      <c r="BDR1" s="136">
        <v>1267</v>
      </c>
      <c r="BDS1" s="136">
        <v>1268</v>
      </c>
      <c r="BDT1" s="136">
        <v>1269</v>
      </c>
      <c r="BDU1" s="136">
        <v>1270</v>
      </c>
      <c r="BDV1" s="136">
        <v>1271</v>
      </c>
      <c r="BDW1" s="136">
        <v>1272</v>
      </c>
      <c r="BDX1" s="136">
        <v>1273</v>
      </c>
      <c r="BDY1" s="136">
        <v>1274</v>
      </c>
      <c r="BDZ1" s="136">
        <v>1275</v>
      </c>
      <c r="BEA1" s="136">
        <v>1276</v>
      </c>
      <c r="BEB1" s="136">
        <v>1277</v>
      </c>
      <c r="BEC1" s="136">
        <v>1278</v>
      </c>
      <c r="BED1" s="136">
        <v>1279</v>
      </c>
      <c r="BEE1" s="136">
        <v>1280</v>
      </c>
      <c r="BEF1" s="136">
        <v>1281</v>
      </c>
      <c r="BEG1" s="136">
        <v>1282</v>
      </c>
      <c r="BEH1" s="136">
        <v>1283</v>
      </c>
      <c r="BEI1" s="136">
        <v>1284</v>
      </c>
      <c r="BEJ1" s="136">
        <v>1285</v>
      </c>
      <c r="BEK1" s="136">
        <v>1286</v>
      </c>
      <c r="BEL1" s="136">
        <v>1287</v>
      </c>
      <c r="BEM1" s="136">
        <v>1288</v>
      </c>
      <c r="BEN1" s="136">
        <v>1289</v>
      </c>
      <c r="BEO1" s="136">
        <v>1290</v>
      </c>
      <c r="BEP1" s="136">
        <v>1291</v>
      </c>
      <c r="BEQ1" s="136">
        <v>1292</v>
      </c>
      <c r="BER1" s="136">
        <v>1293</v>
      </c>
      <c r="BES1" s="136">
        <v>1294</v>
      </c>
      <c r="BET1" s="136">
        <v>1295</v>
      </c>
      <c r="BEU1" s="136">
        <v>1296</v>
      </c>
      <c r="BEV1" s="136">
        <v>1297</v>
      </c>
      <c r="BEW1" s="136">
        <v>1298</v>
      </c>
      <c r="BEX1" s="136">
        <v>1299</v>
      </c>
      <c r="BEY1" s="136">
        <v>1300</v>
      </c>
      <c r="BEZ1" s="136">
        <v>1301</v>
      </c>
      <c r="BFA1" s="136">
        <v>1302</v>
      </c>
      <c r="BFB1" s="136">
        <v>1303</v>
      </c>
      <c r="BFC1" s="136">
        <v>1304</v>
      </c>
      <c r="BFD1" s="136">
        <v>1305</v>
      </c>
      <c r="BFE1" s="136">
        <v>1306</v>
      </c>
      <c r="BFF1" s="136">
        <v>1307</v>
      </c>
      <c r="BFG1" s="136">
        <v>1308</v>
      </c>
      <c r="BFH1" s="136">
        <v>1309</v>
      </c>
      <c r="BFI1" s="136">
        <v>1310</v>
      </c>
      <c r="BFJ1" s="136">
        <v>1311</v>
      </c>
      <c r="BFK1" s="136">
        <v>1312</v>
      </c>
      <c r="BFL1" s="136">
        <v>1313</v>
      </c>
      <c r="BFM1" s="136">
        <v>1314</v>
      </c>
      <c r="BFN1" s="136">
        <v>1315</v>
      </c>
      <c r="BFO1" s="136">
        <v>1316</v>
      </c>
      <c r="BFP1" s="136">
        <v>1317</v>
      </c>
      <c r="BFQ1" s="136">
        <v>1318</v>
      </c>
      <c r="BFR1" s="136">
        <v>1319</v>
      </c>
      <c r="BFS1" s="136">
        <v>1320</v>
      </c>
      <c r="BFT1" s="136">
        <v>1321</v>
      </c>
      <c r="BFU1" s="136">
        <v>1322</v>
      </c>
      <c r="BFV1" s="136">
        <v>1323</v>
      </c>
      <c r="BFW1" s="136">
        <v>1324</v>
      </c>
      <c r="BFX1" s="136">
        <v>1325</v>
      </c>
      <c r="BFY1" s="136">
        <v>1326</v>
      </c>
      <c r="BFZ1" s="136">
        <v>1327</v>
      </c>
      <c r="BGA1" s="136">
        <v>1328</v>
      </c>
      <c r="BGB1" s="136">
        <v>1329</v>
      </c>
      <c r="BGC1" s="136">
        <v>1330</v>
      </c>
      <c r="BGD1" s="136">
        <v>1331</v>
      </c>
      <c r="BGE1" s="136">
        <v>1332</v>
      </c>
      <c r="BGF1" s="136">
        <v>1333</v>
      </c>
      <c r="BGG1" s="136">
        <v>1334</v>
      </c>
      <c r="BGH1" s="136">
        <v>1335</v>
      </c>
      <c r="BGI1" s="136">
        <v>1336</v>
      </c>
      <c r="BGJ1" s="136">
        <v>1337</v>
      </c>
      <c r="BGK1" s="136">
        <v>1338</v>
      </c>
      <c r="BGL1" s="136">
        <v>1339</v>
      </c>
      <c r="BGM1" s="136">
        <v>1340</v>
      </c>
      <c r="BGN1" s="136">
        <v>1341</v>
      </c>
      <c r="BGO1" s="136">
        <v>1342</v>
      </c>
      <c r="BGP1" s="136">
        <v>1343</v>
      </c>
      <c r="BGQ1" s="136">
        <v>1344</v>
      </c>
      <c r="BGR1" s="136">
        <v>1345</v>
      </c>
      <c r="BGS1" s="136">
        <v>1346</v>
      </c>
      <c r="BGT1" s="136">
        <v>1347</v>
      </c>
      <c r="BGU1" s="136">
        <v>1348</v>
      </c>
      <c r="BGV1" s="136">
        <v>1349</v>
      </c>
      <c r="BGW1" s="136">
        <v>1350</v>
      </c>
      <c r="BGX1" s="136">
        <v>1351</v>
      </c>
      <c r="BGY1" s="136">
        <v>1352</v>
      </c>
      <c r="BGZ1" s="136">
        <v>1353</v>
      </c>
      <c r="BHA1" s="136">
        <v>1354</v>
      </c>
      <c r="BHB1" s="136">
        <v>1355</v>
      </c>
      <c r="BHC1" s="136">
        <v>1356</v>
      </c>
      <c r="BHD1" s="136">
        <v>1357</v>
      </c>
      <c r="BHE1" s="136">
        <v>1358</v>
      </c>
      <c r="BHF1" s="136">
        <v>1359</v>
      </c>
      <c r="BHG1" s="136">
        <v>1360</v>
      </c>
      <c r="BHH1" s="136">
        <v>1361</v>
      </c>
      <c r="BHI1" s="136">
        <v>1362</v>
      </c>
      <c r="BHJ1" s="136">
        <v>1363</v>
      </c>
      <c r="BHK1" s="136">
        <v>1364</v>
      </c>
      <c r="BHL1" s="136">
        <v>1365</v>
      </c>
      <c r="BHM1" s="136">
        <v>1366</v>
      </c>
      <c r="BHN1" s="136">
        <v>1367</v>
      </c>
      <c r="BHO1" s="136">
        <v>1368</v>
      </c>
      <c r="BHP1" s="136">
        <v>1369</v>
      </c>
      <c r="BHQ1" s="136">
        <v>1370</v>
      </c>
      <c r="BHR1" s="136">
        <v>1371</v>
      </c>
      <c r="BHS1" s="136">
        <v>1372</v>
      </c>
      <c r="BHT1" s="136">
        <v>1373</v>
      </c>
      <c r="BHU1" s="136">
        <v>1374</v>
      </c>
      <c r="BHV1" s="136">
        <v>1375</v>
      </c>
      <c r="BHW1" s="136">
        <v>1376</v>
      </c>
      <c r="BHX1" s="136">
        <v>1377</v>
      </c>
      <c r="BHY1" s="136">
        <v>1378</v>
      </c>
      <c r="BHZ1" s="136">
        <v>1379</v>
      </c>
      <c r="BIA1" s="136">
        <v>1380</v>
      </c>
      <c r="BIB1" s="136">
        <v>1381</v>
      </c>
      <c r="BIC1" s="136">
        <v>1382</v>
      </c>
      <c r="BID1" s="136">
        <v>1383</v>
      </c>
      <c r="BIE1" s="136">
        <v>1384</v>
      </c>
      <c r="BIF1" s="136">
        <v>1385</v>
      </c>
      <c r="BIG1" s="136">
        <v>1386</v>
      </c>
      <c r="BIH1" s="136">
        <v>1387</v>
      </c>
      <c r="BII1" s="136">
        <v>1388</v>
      </c>
      <c r="BIJ1" s="136">
        <v>1389</v>
      </c>
      <c r="BIK1" s="136">
        <v>1390</v>
      </c>
      <c r="BIL1" s="136">
        <v>1391</v>
      </c>
      <c r="BIM1" s="136">
        <v>1392</v>
      </c>
      <c r="BIN1" s="136">
        <v>1393</v>
      </c>
      <c r="BIO1" s="136">
        <v>1394</v>
      </c>
      <c r="BIP1" s="136">
        <v>1395</v>
      </c>
      <c r="BIQ1" s="136">
        <v>1396</v>
      </c>
      <c r="BIR1" s="136">
        <v>1397</v>
      </c>
      <c r="BIS1" s="136">
        <v>1398</v>
      </c>
      <c r="BIT1" s="136">
        <v>1399</v>
      </c>
      <c r="BIU1" s="136">
        <v>1400</v>
      </c>
      <c r="BIV1" s="136">
        <v>1401</v>
      </c>
      <c r="BIW1" s="136">
        <v>1402</v>
      </c>
      <c r="BIX1" s="136">
        <v>1403</v>
      </c>
      <c r="BIY1" s="136">
        <v>1404</v>
      </c>
      <c r="BIZ1" s="136">
        <v>1405</v>
      </c>
      <c r="BJA1" s="136">
        <v>1406</v>
      </c>
      <c r="BJB1" s="136">
        <v>1407</v>
      </c>
      <c r="BJC1" s="136">
        <v>1408</v>
      </c>
      <c r="BJD1" s="136">
        <v>1409</v>
      </c>
      <c r="BJE1" s="136">
        <v>1410</v>
      </c>
      <c r="BJF1" s="136">
        <v>1411</v>
      </c>
      <c r="BJG1" s="136">
        <v>1412</v>
      </c>
      <c r="BJH1" s="136">
        <v>1413</v>
      </c>
      <c r="BJI1" s="136">
        <v>1414</v>
      </c>
      <c r="BJJ1" s="136">
        <v>1415</v>
      </c>
      <c r="BJK1" s="136">
        <v>1416</v>
      </c>
      <c r="BJL1" s="136">
        <v>1417</v>
      </c>
      <c r="BJM1" s="136">
        <v>1418</v>
      </c>
      <c r="BJN1" s="136">
        <v>1419</v>
      </c>
      <c r="BJO1" s="136">
        <v>1420</v>
      </c>
      <c r="BJP1" s="136">
        <v>1421</v>
      </c>
      <c r="BJQ1" s="136">
        <v>1422</v>
      </c>
      <c r="BJR1" s="136">
        <v>1423</v>
      </c>
      <c r="BJS1" s="136">
        <v>1424</v>
      </c>
      <c r="BJT1" s="136">
        <v>1425</v>
      </c>
      <c r="BJU1" s="136">
        <v>1426</v>
      </c>
      <c r="BJV1" s="136">
        <v>1427</v>
      </c>
      <c r="BJW1" s="136">
        <v>1428</v>
      </c>
      <c r="BJX1" s="136">
        <v>1429</v>
      </c>
      <c r="BJY1" s="136">
        <v>1430</v>
      </c>
      <c r="BJZ1" s="136">
        <v>1431</v>
      </c>
      <c r="BKA1" s="136">
        <v>1432</v>
      </c>
      <c r="BKB1" s="136">
        <v>1433</v>
      </c>
      <c r="BKC1" s="136">
        <v>1434</v>
      </c>
      <c r="BKD1" s="136">
        <v>1435</v>
      </c>
      <c r="BKE1" s="136">
        <v>1436</v>
      </c>
      <c r="BKF1" s="136">
        <v>1437</v>
      </c>
      <c r="BKG1" s="136">
        <v>1438</v>
      </c>
      <c r="BKH1" s="136">
        <v>1439</v>
      </c>
      <c r="BKI1" s="136">
        <v>1440</v>
      </c>
      <c r="BKJ1" s="136">
        <v>1441</v>
      </c>
      <c r="BKK1" s="136">
        <v>1442</v>
      </c>
      <c r="BKL1" s="136">
        <v>1443</v>
      </c>
      <c r="BKM1" s="136">
        <v>1444</v>
      </c>
      <c r="BKN1" s="136">
        <v>1445</v>
      </c>
      <c r="BKO1" s="136">
        <v>1446</v>
      </c>
      <c r="BKP1" s="136">
        <v>1447</v>
      </c>
      <c r="BKQ1" s="136">
        <v>1448</v>
      </c>
      <c r="BKR1" s="136">
        <v>1449</v>
      </c>
      <c r="BKS1" s="136">
        <v>1450</v>
      </c>
      <c r="BKT1" s="136">
        <v>1451</v>
      </c>
      <c r="BKU1" s="136">
        <v>1452</v>
      </c>
      <c r="BKV1" s="136">
        <v>1453</v>
      </c>
      <c r="BKW1" s="136">
        <v>1454</v>
      </c>
      <c r="BKX1" s="136">
        <v>1455</v>
      </c>
      <c r="BKY1" s="136">
        <v>1456</v>
      </c>
      <c r="BKZ1" s="136">
        <v>1457</v>
      </c>
      <c r="BLA1" s="136">
        <v>1458</v>
      </c>
      <c r="BLB1" s="136">
        <v>1459</v>
      </c>
      <c r="BLC1" s="136">
        <v>1460</v>
      </c>
      <c r="BLD1" s="136">
        <v>1461</v>
      </c>
      <c r="BLE1" s="136">
        <v>1462</v>
      </c>
      <c r="BLF1" s="136">
        <v>1463</v>
      </c>
      <c r="BLG1" s="136">
        <v>1464</v>
      </c>
      <c r="BLH1" s="136">
        <v>1465</v>
      </c>
      <c r="BLI1" s="136">
        <v>1466</v>
      </c>
      <c r="BLJ1" s="136">
        <v>1467</v>
      </c>
      <c r="BLK1" s="136">
        <v>1468</v>
      </c>
      <c r="BLL1" s="136">
        <v>1469</v>
      </c>
      <c r="BLM1" s="136">
        <v>1470</v>
      </c>
      <c r="BLN1" s="136">
        <v>1471</v>
      </c>
      <c r="BLO1" s="136">
        <v>1472</v>
      </c>
      <c r="BLP1" s="136">
        <v>1473</v>
      </c>
      <c r="BLQ1" s="136">
        <v>1474</v>
      </c>
      <c r="BLR1" s="136">
        <v>1475</v>
      </c>
      <c r="BLS1" s="136">
        <v>1476</v>
      </c>
      <c r="BLT1" s="136">
        <v>1477</v>
      </c>
      <c r="BLU1" s="136">
        <v>1478</v>
      </c>
      <c r="BLV1" s="136">
        <v>1479</v>
      </c>
      <c r="BLW1" s="136">
        <v>1480</v>
      </c>
      <c r="BLX1" s="136">
        <v>1481</v>
      </c>
      <c r="BLY1" s="136">
        <v>1482</v>
      </c>
      <c r="BLZ1" s="136">
        <v>1483</v>
      </c>
      <c r="BMA1" s="136">
        <v>1484</v>
      </c>
      <c r="BMB1" s="136">
        <v>1485</v>
      </c>
      <c r="BMC1" s="136">
        <v>1486</v>
      </c>
      <c r="BMD1" s="136">
        <v>1487</v>
      </c>
      <c r="BME1" s="136">
        <v>1488</v>
      </c>
      <c r="BMF1" s="136">
        <v>1489</v>
      </c>
      <c r="BMG1" s="136">
        <v>1490</v>
      </c>
      <c r="BMH1" s="136">
        <v>1491</v>
      </c>
      <c r="BMI1" s="136">
        <v>1492</v>
      </c>
      <c r="BMJ1" s="136">
        <v>1493</v>
      </c>
      <c r="BMK1" s="136">
        <v>1494</v>
      </c>
      <c r="BML1" s="136">
        <v>1495</v>
      </c>
      <c r="BMM1" s="136">
        <v>1496</v>
      </c>
      <c r="BMN1" s="136">
        <v>1497</v>
      </c>
      <c r="BMO1" s="136">
        <v>1498</v>
      </c>
      <c r="BMP1" s="136">
        <v>1499</v>
      </c>
      <c r="BMQ1" s="136">
        <v>1500</v>
      </c>
      <c r="BMR1" s="136">
        <v>1501</v>
      </c>
      <c r="BMS1" s="136">
        <v>1502</v>
      </c>
      <c r="BMT1" s="136">
        <v>1503</v>
      </c>
      <c r="BMU1" s="136">
        <v>1504</v>
      </c>
      <c r="BMV1" s="136">
        <v>1505</v>
      </c>
      <c r="BMW1" s="136">
        <v>1506</v>
      </c>
      <c r="BMX1" s="136">
        <v>1507</v>
      </c>
      <c r="BMY1" s="136">
        <v>1508</v>
      </c>
      <c r="BMZ1" s="136">
        <v>1509</v>
      </c>
      <c r="BNA1" s="136">
        <v>1510</v>
      </c>
      <c r="BNB1" s="136">
        <v>1511</v>
      </c>
      <c r="BNC1" s="136">
        <v>1512</v>
      </c>
      <c r="BND1" s="136">
        <v>1513</v>
      </c>
      <c r="BNE1" s="136">
        <v>1514</v>
      </c>
      <c r="BNF1" s="136">
        <v>1515</v>
      </c>
      <c r="BNG1" s="136">
        <v>1516</v>
      </c>
      <c r="BNH1" s="136">
        <v>1517</v>
      </c>
      <c r="BNI1" s="136">
        <v>1518</v>
      </c>
      <c r="BNJ1" s="136">
        <v>1519</v>
      </c>
      <c r="BNK1" s="136">
        <v>1520</v>
      </c>
      <c r="BNL1" s="136">
        <v>1521</v>
      </c>
      <c r="BNM1" s="136">
        <v>1522</v>
      </c>
      <c r="BNN1" s="136">
        <v>1523</v>
      </c>
      <c r="BNO1" s="136">
        <v>1524</v>
      </c>
      <c r="BNP1" s="136">
        <v>1525</v>
      </c>
      <c r="BNQ1" s="136">
        <v>1526</v>
      </c>
      <c r="BNR1" s="136">
        <v>1527</v>
      </c>
      <c r="BNS1" s="136">
        <v>1528</v>
      </c>
      <c r="BNT1" s="136">
        <v>1529</v>
      </c>
      <c r="BNU1" s="136">
        <v>1530</v>
      </c>
      <c r="BNV1" s="136">
        <v>1531</v>
      </c>
      <c r="BNW1" s="136">
        <v>1532</v>
      </c>
      <c r="BNX1" s="136">
        <v>1533</v>
      </c>
      <c r="BNY1" s="136">
        <v>1534</v>
      </c>
      <c r="BNZ1" s="136">
        <v>1535</v>
      </c>
      <c r="BOA1" s="136">
        <v>1536</v>
      </c>
      <c r="BOB1" s="136">
        <v>1537</v>
      </c>
      <c r="BOC1" s="136">
        <v>1538</v>
      </c>
      <c r="BOD1" s="136">
        <v>1539</v>
      </c>
      <c r="BOE1" s="136">
        <v>1540</v>
      </c>
      <c r="BOF1" s="136">
        <v>1541</v>
      </c>
      <c r="BOG1" s="136">
        <v>1542</v>
      </c>
      <c r="BOH1" s="136">
        <v>1543</v>
      </c>
      <c r="BOI1" s="136">
        <v>1544</v>
      </c>
      <c r="BOJ1" s="136">
        <v>1545</v>
      </c>
      <c r="BOK1" s="136">
        <v>1546</v>
      </c>
      <c r="BOL1" s="136">
        <v>1547</v>
      </c>
      <c r="BOM1" s="136">
        <v>1548</v>
      </c>
      <c r="BON1" s="136">
        <v>1549</v>
      </c>
      <c r="BOO1" s="136">
        <v>1550</v>
      </c>
      <c r="BOP1" s="136">
        <v>1551</v>
      </c>
      <c r="BOQ1" s="136">
        <v>1552</v>
      </c>
      <c r="BOR1" s="136">
        <v>1553</v>
      </c>
      <c r="BOS1" s="136">
        <v>1554</v>
      </c>
      <c r="BOT1" s="136">
        <v>1555</v>
      </c>
      <c r="BOU1" s="136">
        <v>1556</v>
      </c>
      <c r="BOV1" s="136">
        <v>1557</v>
      </c>
      <c r="BOW1" s="136">
        <v>1558</v>
      </c>
      <c r="BOX1" s="136">
        <v>1559</v>
      </c>
      <c r="BOY1" s="136">
        <v>1560</v>
      </c>
      <c r="BOZ1" s="136">
        <v>1561</v>
      </c>
      <c r="BPA1" s="136">
        <v>1562</v>
      </c>
      <c r="BPB1" s="136">
        <v>1563</v>
      </c>
      <c r="BPC1" s="136">
        <v>1564</v>
      </c>
      <c r="BPD1" s="136">
        <v>1565</v>
      </c>
      <c r="BPE1" s="136">
        <v>1566</v>
      </c>
      <c r="BPF1" s="136">
        <v>1567</v>
      </c>
      <c r="BPG1" s="136">
        <v>1568</v>
      </c>
      <c r="BPH1" s="136">
        <v>1569</v>
      </c>
      <c r="BPI1" s="136">
        <v>1570</v>
      </c>
      <c r="BPJ1" s="136">
        <v>1571</v>
      </c>
      <c r="BPK1" s="136">
        <v>1572</v>
      </c>
      <c r="BPL1" s="136">
        <v>1573</v>
      </c>
      <c r="BPM1" s="136">
        <v>1574</v>
      </c>
      <c r="BPN1" s="136">
        <v>1575</v>
      </c>
      <c r="BPO1" s="136">
        <v>1576</v>
      </c>
      <c r="BPP1" s="136">
        <v>1577</v>
      </c>
      <c r="BPQ1" s="136">
        <v>1578</v>
      </c>
      <c r="BPR1" s="136">
        <v>1579</v>
      </c>
      <c r="BPS1" s="136">
        <v>1580</v>
      </c>
      <c r="BPT1" s="136">
        <v>1581</v>
      </c>
      <c r="BPU1" s="136">
        <v>1582</v>
      </c>
      <c r="BPV1" s="136">
        <v>1583</v>
      </c>
      <c r="BPW1" s="136">
        <v>1584</v>
      </c>
      <c r="BPX1" s="136">
        <v>1585</v>
      </c>
      <c r="BPY1" s="136">
        <v>1586</v>
      </c>
      <c r="BPZ1" s="136">
        <v>1587</v>
      </c>
      <c r="BQA1" s="136">
        <v>1588</v>
      </c>
      <c r="BQB1" s="136">
        <v>1589</v>
      </c>
      <c r="BQC1" s="136">
        <v>1590</v>
      </c>
      <c r="BQD1" s="136">
        <v>1591</v>
      </c>
      <c r="BQE1" s="136">
        <v>1592</v>
      </c>
      <c r="BQF1" s="136">
        <v>1593</v>
      </c>
      <c r="BQG1" s="136">
        <v>1594</v>
      </c>
      <c r="BQH1" s="136">
        <v>1595</v>
      </c>
      <c r="BQI1" s="136">
        <v>1596</v>
      </c>
      <c r="BQJ1" s="136">
        <v>1597</v>
      </c>
      <c r="BQK1" s="136">
        <v>1598</v>
      </c>
      <c r="BQL1" s="136">
        <v>1599</v>
      </c>
      <c r="BQM1" s="136">
        <v>1600</v>
      </c>
      <c r="BQN1" s="136">
        <v>1601</v>
      </c>
      <c r="BQO1" s="136">
        <v>1602</v>
      </c>
      <c r="BQP1" s="136">
        <v>1603</v>
      </c>
      <c r="BQQ1" s="136">
        <v>1604</v>
      </c>
      <c r="BQR1" s="136">
        <v>1605</v>
      </c>
      <c r="BQS1" s="136">
        <v>1606</v>
      </c>
      <c r="BQT1" s="136">
        <v>1607</v>
      </c>
      <c r="BQU1" s="136">
        <v>1608</v>
      </c>
      <c r="BQV1" s="136">
        <v>1609</v>
      </c>
      <c r="BQW1" s="136">
        <v>1610</v>
      </c>
      <c r="BQX1" s="136">
        <v>1611</v>
      </c>
      <c r="BQY1" s="136">
        <v>1612</v>
      </c>
      <c r="BQZ1" s="136">
        <v>1613</v>
      </c>
      <c r="BRA1" s="136">
        <v>1614</v>
      </c>
      <c r="BRB1" s="136">
        <v>1615</v>
      </c>
      <c r="BRC1" s="136">
        <v>1616</v>
      </c>
      <c r="BRD1" s="136">
        <v>1617</v>
      </c>
      <c r="BRE1" s="136">
        <v>1618</v>
      </c>
      <c r="BRF1" s="136">
        <v>1619</v>
      </c>
      <c r="BRG1" s="136">
        <v>1620</v>
      </c>
      <c r="BRH1" s="136">
        <v>1621</v>
      </c>
      <c r="BRI1" s="136">
        <v>1622</v>
      </c>
      <c r="BRJ1" s="136">
        <v>1623</v>
      </c>
      <c r="BRK1" s="136">
        <v>1624</v>
      </c>
      <c r="BRL1" s="136">
        <v>1625</v>
      </c>
      <c r="BRM1" s="136">
        <v>1626</v>
      </c>
      <c r="BRN1" s="136">
        <v>1627</v>
      </c>
      <c r="BRO1" s="136">
        <v>1628</v>
      </c>
      <c r="BRP1" s="136">
        <v>1629</v>
      </c>
      <c r="BRQ1" s="136">
        <v>1630</v>
      </c>
      <c r="BRR1" s="136">
        <v>1631</v>
      </c>
      <c r="BRS1" s="136">
        <v>1632</v>
      </c>
      <c r="BRT1" s="136">
        <v>1633</v>
      </c>
      <c r="BRU1" s="136">
        <v>1634</v>
      </c>
      <c r="BRV1" s="136">
        <v>1635</v>
      </c>
      <c r="BRW1" s="136">
        <v>1636</v>
      </c>
      <c r="BRX1" s="136">
        <v>1637</v>
      </c>
      <c r="BRY1" s="136">
        <v>1638</v>
      </c>
      <c r="BRZ1" s="136">
        <v>1639</v>
      </c>
      <c r="BSA1" s="136">
        <v>1640</v>
      </c>
      <c r="BSB1" s="136">
        <v>1641</v>
      </c>
      <c r="BSC1" s="136">
        <v>1642</v>
      </c>
      <c r="BSD1" s="136">
        <v>1643</v>
      </c>
      <c r="BSE1" s="136">
        <v>1644</v>
      </c>
      <c r="BSF1" s="136">
        <v>1645</v>
      </c>
      <c r="BSG1" s="136">
        <v>1646</v>
      </c>
      <c r="BSH1" s="136">
        <v>1647</v>
      </c>
      <c r="BSI1" s="136">
        <v>1648</v>
      </c>
      <c r="BSJ1" s="136">
        <v>1649</v>
      </c>
      <c r="BSK1" s="136">
        <v>1650</v>
      </c>
      <c r="BSL1" s="136">
        <v>1651</v>
      </c>
      <c r="BSM1" s="136">
        <v>1652</v>
      </c>
      <c r="BSN1" s="136">
        <v>1653</v>
      </c>
      <c r="BSO1" s="136">
        <v>1654</v>
      </c>
      <c r="BSP1" s="136">
        <v>1655</v>
      </c>
      <c r="BSQ1" s="136">
        <v>1656</v>
      </c>
      <c r="BSR1" s="136">
        <v>1657</v>
      </c>
      <c r="BSS1" s="136">
        <v>1658</v>
      </c>
      <c r="BST1" s="136">
        <v>1659</v>
      </c>
      <c r="BSU1" s="136">
        <v>1660</v>
      </c>
      <c r="BSV1" s="136">
        <v>1661</v>
      </c>
      <c r="BSW1" s="136">
        <v>1662</v>
      </c>
      <c r="BSX1" s="136">
        <v>1663</v>
      </c>
      <c r="BSY1" s="136">
        <v>1664</v>
      </c>
      <c r="BSZ1" s="136">
        <v>1665</v>
      </c>
      <c r="BTA1" s="136">
        <v>1666</v>
      </c>
      <c r="BTB1" s="136">
        <v>1667</v>
      </c>
      <c r="BTC1" s="136">
        <v>1668</v>
      </c>
      <c r="BTD1" s="136">
        <v>1669</v>
      </c>
      <c r="BTE1" s="136">
        <v>1670</v>
      </c>
      <c r="BTF1" s="136">
        <v>1671</v>
      </c>
      <c r="BTG1" s="136">
        <v>1672</v>
      </c>
      <c r="BTH1" s="136">
        <v>1673</v>
      </c>
      <c r="BTI1" s="136">
        <v>1674</v>
      </c>
      <c r="BTJ1" s="136">
        <v>1675</v>
      </c>
      <c r="BTK1" s="136">
        <v>1676</v>
      </c>
      <c r="BTL1" s="136">
        <v>1677</v>
      </c>
      <c r="BTM1" s="136">
        <v>1678</v>
      </c>
      <c r="BTN1" s="136">
        <v>1679</v>
      </c>
      <c r="BTO1" s="136">
        <v>1680</v>
      </c>
      <c r="BTP1" s="136">
        <v>1681</v>
      </c>
      <c r="BTQ1" s="136">
        <v>1682</v>
      </c>
      <c r="BTR1" s="136">
        <v>1683</v>
      </c>
      <c r="BTS1" s="136">
        <v>1684</v>
      </c>
      <c r="BTT1" s="136">
        <v>1685</v>
      </c>
      <c r="BTU1" s="136">
        <v>1686</v>
      </c>
      <c r="BTV1" s="136">
        <v>1687</v>
      </c>
      <c r="BTW1" s="136">
        <v>1688</v>
      </c>
      <c r="BTX1" s="136">
        <v>1689</v>
      </c>
      <c r="BTY1" s="136">
        <v>1690</v>
      </c>
      <c r="BTZ1" s="136">
        <v>1691</v>
      </c>
      <c r="BUA1" s="136">
        <v>1692</v>
      </c>
      <c r="BUB1" s="136">
        <v>1693</v>
      </c>
      <c r="BUC1" s="136">
        <v>1694</v>
      </c>
      <c r="BUD1" s="136">
        <v>1695</v>
      </c>
      <c r="BUE1" s="136">
        <v>1696</v>
      </c>
      <c r="BUF1" s="136">
        <v>1697</v>
      </c>
      <c r="BUG1" s="136">
        <v>1698</v>
      </c>
      <c r="BUH1" s="136">
        <v>1699</v>
      </c>
      <c r="BUI1" s="136">
        <v>1700</v>
      </c>
      <c r="BUJ1" s="136">
        <v>1701</v>
      </c>
      <c r="BUK1" s="136">
        <v>1702</v>
      </c>
      <c r="BUL1" s="136">
        <v>1703</v>
      </c>
      <c r="BUM1" s="136">
        <v>1704</v>
      </c>
      <c r="BUN1" s="136">
        <v>1705</v>
      </c>
      <c r="BUO1" s="136">
        <v>1706</v>
      </c>
      <c r="BUP1" s="136">
        <v>1707</v>
      </c>
      <c r="BUQ1" s="136">
        <v>1708</v>
      </c>
      <c r="BUR1" s="136">
        <v>1709</v>
      </c>
      <c r="BUS1" s="136">
        <v>1710</v>
      </c>
      <c r="BUT1" s="136">
        <v>1711</v>
      </c>
      <c r="BUU1" s="136">
        <v>1712</v>
      </c>
      <c r="BUV1" s="136">
        <v>1713</v>
      </c>
      <c r="BUW1" s="136">
        <v>1714</v>
      </c>
      <c r="BUX1" s="136">
        <v>1715</v>
      </c>
      <c r="BUY1" s="136">
        <v>1716</v>
      </c>
      <c r="BUZ1" s="136">
        <v>1717</v>
      </c>
      <c r="BVA1" s="136">
        <v>1718</v>
      </c>
      <c r="BVB1" s="136">
        <v>1719</v>
      </c>
      <c r="BVC1" s="136">
        <v>1720</v>
      </c>
      <c r="BVD1" s="136">
        <v>1721</v>
      </c>
      <c r="BVE1" s="136">
        <v>1722</v>
      </c>
      <c r="BVF1" s="136">
        <v>1723</v>
      </c>
      <c r="BVG1" s="136">
        <v>1724</v>
      </c>
      <c r="BVH1" s="136">
        <v>1725</v>
      </c>
      <c r="BVI1" s="136">
        <v>1726</v>
      </c>
      <c r="BVJ1" s="136">
        <v>1727</v>
      </c>
      <c r="BVK1" s="136">
        <v>1728</v>
      </c>
      <c r="BVL1" s="136">
        <v>1729</v>
      </c>
      <c r="BVM1" s="136">
        <v>1730</v>
      </c>
      <c r="BVN1" s="136">
        <v>1731</v>
      </c>
      <c r="BVO1" s="136">
        <v>1732</v>
      </c>
      <c r="BVP1" s="136">
        <v>1733</v>
      </c>
      <c r="BVQ1" s="136">
        <v>1734</v>
      </c>
      <c r="BVR1" s="136">
        <v>1735</v>
      </c>
      <c r="BVS1" s="136">
        <v>1736</v>
      </c>
      <c r="BVT1" s="136">
        <v>1737</v>
      </c>
      <c r="BVU1" s="136">
        <v>1738</v>
      </c>
      <c r="BVV1" s="136">
        <v>1739</v>
      </c>
      <c r="BVW1" s="136">
        <v>1740</v>
      </c>
      <c r="BVX1" s="136">
        <v>1741</v>
      </c>
      <c r="BVY1" s="136">
        <v>1742</v>
      </c>
      <c r="BVZ1" s="136">
        <v>1743</v>
      </c>
      <c r="BWA1" s="136">
        <v>1744</v>
      </c>
      <c r="BWB1" s="136">
        <v>1745</v>
      </c>
      <c r="BWC1" s="136">
        <v>1746</v>
      </c>
      <c r="BWD1" s="136">
        <v>1747</v>
      </c>
      <c r="BWE1" s="136">
        <v>1748</v>
      </c>
      <c r="BWF1" s="136">
        <v>1749</v>
      </c>
      <c r="BWG1" s="136">
        <v>1750</v>
      </c>
      <c r="BWH1" s="136">
        <v>1751</v>
      </c>
      <c r="BWI1" s="136">
        <v>1752</v>
      </c>
      <c r="BWJ1" s="136">
        <v>1753</v>
      </c>
      <c r="BWK1" s="136">
        <v>1754</v>
      </c>
      <c r="BWL1" s="136">
        <v>1755</v>
      </c>
      <c r="BWM1" s="136">
        <v>1756</v>
      </c>
      <c r="BWN1" s="136">
        <v>1757</v>
      </c>
      <c r="BWO1" s="136">
        <v>1758</v>
      </c>
      <c r="BWP1" s="136">
        <v>1759</v>
      </c>
      <c r="BWQ1" s="136">
        <v>1760</v>
      </c>
      <c r="BWR1" s="136">
        <v>1761</v>
      </c>
      <c r="BWS1" s="136">
        <v>1762</v>
      </c>
      <c r="BWT1" s="136">
        <v>1763</v>
      </c>
      <c r="BWU1" s="136">
        <v>1764</v>
      </c>
      <c r="BWV1" s="136">
        <v>1765</v>
      </c>
      <c r="BWW1" s="136">
        <v>1766</v>
      </c>
      <c r="BWX1" s="136">
        <v>1767</v>
      </c>
      <c r="BWY1" s="136">
        <v>1768</v>
      </c>
      <c r="BWZ1" s="136">
        <v>1769</v>
      </c>
      <c r="BXA1" s="136">
        <v>1770</v>
      </c>
      <c r="BXB1" s="136">
        <v>1771</v>
      </c>
      <c r="BXC1" s="136">
        <v>1772</v>
      </c>
      <c r="BXD1" s="136">
        <v>1773</v>
      </c>
      <c r="BXE1" s="136">
        <v>1774</v>
      </c>
      <c r="BXF1" s="136">
        <v>1775</v>
      </c>
      <c r="BXG1" s="136">
        <v>1776</v>
      </c>
      <c r="BXH1" s="136">
        <v>1777</v>
      </c>
      <c r="BXI1" s="136">
        <v>1778</v>
      </c>
      <c r="BXJ1" s="136">
        <v>1779</v>
      </c>
      <c r="BXK1" s="136">
        <v>1780</v>
      </c>
      <c r="BXL1" s="136">
        <v>1781</v>
      </c>
      <c r="BXM1" s="136">
        <v>1782</v>
      </c>
      <c r="BXN1" s="136">
        <v>1783</v>
      </c>
      <c r="BXO1" s="136">
        <v>1784</v>
      </c>
      <c r="BXP1" s="136">
        <v>1785</v>
      </c>
      <c r="BXQ1" s="136">
        <v>1786</v>
      </c>
      <c r="BXR1" s="136">
        <v>1787</v>
      </c>
      <c r="BXS1" s="136">
        <v>1788</v>
      </c>
      <c r="BXT1" s="136">
        <v>1789</v>
      </c>
      <c r="BXU1" s="136">
        <v>1790</v>
      </c>
      <c r="BXV1" s="140" t="s">
        <v>225</v>
      </c>
      <c r="BXW1" s="136" t="s">
        <v>147</v>
      </c>
      <c r="BXX1" s="136" t="s">
        <v>146</v>
      </c>
      <c r="BXY1" s="136" t="s">
        <v>76</v>
      </c>
      <c r="BXZ1" s="136" t="s">
        <v>61</v>
      </c>
      <c r="BYA1" s="136" t="s">
        <v>62</v>
      </c>
      <c r="BYB1" s="136" t="s">
        <v>77</v>
      </c>
      <c r="BYC1" s="136" t="s">
        <v>63</v>
      </c>
      <c r="BYD1" s="136" t="s">
        <v>64</v>
      </c>
      <c r="BYE1" s="136" t="s">
        <v>78</v>
      </c>
      <c r="BYF1" s="136" t="s">
        <v>65</v>
      </c>
      <c r="BYG1" s="136" t="s">
        <v>66</v>
      </c>
      <c r="BYH1" s="136" t="s">
        <v>79</v>
      </c>
      <c r="BYI1" s="136" t="s">
        <v>67</v>
      </c>
      <c r="BYJ1" s="136" t="s">
        <v>80</v>
      </c>
      <c r="BYK1" s="136">
        <v>5</v>
      </c>
      <c r="BYL1" s="136" t="s">
        <v>68</v>
      </c>
      <c r="BYM1" s="136" t="s">
        <v>69</v>
      </c>
      <c r="BYN1" s="136" t="s">
        <v>81</v>
      </c>
      <c r="BYO1" s="136" t="s">
        <v>70</v>
      </c>
      <c r="BYP1" s="136" t="s">
        <v>71</v>
      </c>
      <c r="BYQ1" s="136" t="s">
        <v>82</v>
      </c>
      <c r="BYR1" s="136" t="s">
        <v>72</v>
      </c>
      <c r="BYS1" s="136" t="s">
        <v>73</v>
      </c>
      <c r="BYT1" s="136" t="s">
        <v>83</v>
      </c>
      <c r="BYU1" s="136" t="s">
        <v>74</v>
      </c>
      <c r="BYV1" s="136" t="s">
        <v>75</v>
      </c>
      <c r="BYX1" s="136" t="s">
        <v>419</v>
      </c>
      <c r="BYY1" s="136" t="s">
        <v>160</v>
      </c>
      <c r="BYZ1" s="136" t="s">
        <v>161</v>
      </c>
      <c r="BZA1" s="136" t="s">
        <v>162</v>
      </c>
      <c r="BZB1" s="136" t="s">
        <v>163</v>
      </c>
      <c r="BZC1" s="136" t="s">
        <v>164</v>
      </c>
      <c r="BZD1" s="136" t="s">
        <v>165</v>
      </c>
      <c r="BZE1" s="136" t="s">
        <v>166</v>
      </c>
      <c r="BZF1" s="136" t="s">
        <v>167</v>
      </c>
      <c r="BZG1" s="136" t="s">
        <v>168</v>
      </c>
      <c r="BZH1" s="136" t="s">
        <v>169</v>
      </c>
      <c r="BZI1" s="136" t="s">
        <v>170</v>
      </c>
      <c r="BZJ1" s="136" t="s">
        <v>171</v>
      </c>
      <c r="BZK1" s="136" t="s">
        <v>172</v>
      </c>
      <c r="BZL1" s="136" t="s">
        <v>173</v>
      </c>
      <c r="BZM1" s="136" t="s">
        <v>174</v>
      </c>
      <c r="BZN1" s="136" t="s">
        <v>175</v>
      </c>
      <c r="BZO1" s="136" t="s">
        <v>176</v>
      </c>
      <c r="BZP1" s="136" t="s">
        <v>177</v>
      </c>
      <c r="BZQ1" s="136" t="s">
        <v>178</v>
      </c>
      <c r="BZR1" s="136" t="s">
        <v>179</v>
      </c>
      <c r="BZS1" s="136" t="s">
        <v>180</v>
      </c>
      <c r="BZT1" s="136" t="s">
        <v>181</v>
      </c>
      <c r="BZU1" s="136" t="s">
        <v>182</v>
      </c>
      <c r="BZV1" s="136" t="s">
        <v>183</v>
      </c>
      <c r="BZW1" s="136" t="s">
        <v>184</v>
      </c>
      <c r="BZX1" s="136" t="s">
        <v>185</v>
      </c>
      <c r="BZY1" s="136" t="s">
        <v>186</v>
      </c>
      <c r="BZZ1" s="136" t="s">
        <v>187</v>
      </c>
      <c r="CAA1" s="136" t="s">
        <v>188</v>
      </c>
      <c r="CAB1" s="136" t="s">
        <v>189</v>
      </c>
      <c r="CAD1" s="136" t="s">
        <v>0</v>
      </c>
      <c r="CAE1" s="136" t="s">
        <v>148</v>
      </c>
      <c r="CAF1" s="136" t="s">
        <v>149</v>
      </c>
      <c r="CAG1" s="136" t="s">
        <v>58</v>
      </c>
      <c r="CAH1" s="136" t="s">
        <v>27</v>
      </c>
      <c r="CAI1" s="136" t="s">
        <v>153</v>
      </c>
      <c r="CAJ1" s="136" t="s">
        <v>151</v>
      </c>
      <c r="CAK1" s="136" t="s">
        <v>150</v>
      </c>
      <c r="CAM1" s="136" t="s">
        <v>226</v>
      </c>
      <c r="CAN1" s="136" t="s">
        <v>227</v>
      </c>
      <c r="CAO1" s="136" t="s">
        <v>286</v>
      </c>
      <c r="CAP1" s="136" t="s">
        <v>317</v>
      </c>
      <c r="CAQ1" s="136" t="s">
        <v>318</v>
      </c>
      <c r="CAR1" s="136" t="s">
        <v>228</v>
      </c>
      <c r="CAS1" s="136" t="s">
        <v>229</v>
      </c>
      <c r="CAT1" s="136" t="s">
        <v>287</v>
      </c>
      <c r="CAU1" s="136" t="s">
        <v>319</v>
      </c>
      <c r="CAV1" s="136" t="s">
        <v>320</v>
      </c>
      <c r="CAW1" s="136" t="s">
        <v>230</v>
      </c>
      <c r="CAX1" s="136" t="s">
        <v>231</v>
      </c>
      <c r="CAY1" s="136" t="s">
        <v>288</v>
      </c>
      <c r="CAZ1" s="136" t="s">
        <v>321</v>
      </c>
      <c r="CBA1" s="136" t="s">
        <v>322</v>
      </c>
      <c r="CBB1" s="136" t="s">
        <v>232</v>
      </c>
      <c r="CBC1" s="136" t="s">
        <v>233</v>
      </c>
      <c r="CBD1" s="136" t="s">
        <v>289</v>
      </c>
      <c r="CBE1" s="136" t="s">
        <v>323</v>
      </c>
      <c r="CBF1" s="136" t="s">
        <v>324</v>
      </c>
      <c r="CBG1" s="136" t="s">
        <v>234</v>
      </c>
      <c r="CBH1" s="136" t="s">
        <v>235</v>
      </c>
      <c r="CBI1" s="136" t="s">
        <v>290</v>
      </c>
      <c r="CBJ1" s="136" t="s">
        <v>325</v>
      </c>
      <c r="CBK1" s="136" t="s">
        <v>326</v>
      </c>
      <c r="CBL1" s="136" t="s">
        <v>236</v>
      </c>
      <c r="CBM1" s="136" t="s">
        <v>237</v>
      </c>
      <c r="CBN1" s="136" t="s">
        <v>291</v>
      </c>
      <c r="CBO1" s="136" t="s">
        <v>327</v>
      </c>
      <c r="CBP1" s="136" t="s">
        <v>328</v>
      </c>
      <c r="CBQ1" s="136" t="s">
        <v>238</v>
      </c>
      <c r="CBR1" s="136" t="s">
        <v>239</v>
      </c>
      <c r="CBS1" s="136" t="s">
        <v>292</v>
      </c>
      <c r="CBT1" s="136" t="s">
        <v>329</v>
      </c>
      <c r="CBU1" s="136" t="s">
        <v>330</v>
      </c>
      <c r="CBV1" s="136" t="s">
        <v>240</v>
      </c>
      <c r="CBW1" s="136" t="s">
        <v>241</v>
      </c>
      <c r="CBX1" s="136" t="s">
        <v>293</v>
      </c>
      <c r="CBY1" s="136" t="s">
        <v>331</v>
      </c>
      <c r="CBZ1" s="136" t="s">
        <v>332</v>
      </c>
      <c r="CCA1" s="136" t="s">
        <v>242</v>
      </c>
      <c r="CCB1" s="136" t="s">
        <v>243</v>
      </c>
      <c r="CCC1" s="136" t="s">
        <v>294</v>
      </c>
      <c r="CCD1" s="136" t="s">
        <v>333</v>
      </c>
      <c r="CCE1" s="136" t="s">
        <v>334</v>
      </c>
      <c r="CCF1" s="136" t="s">
        <v>244</v>
      </c>
      <c r="CCG1" s="136" t="s">
        <v>245</v>
      </c>
      <c r="CCH1" s="136" t="s">
        <v>295</v>
      </c>
      <c r="CCI1" s="136" t="s">
        <v>335</v>
      </c>
      <c r="CCJ1" s="136" t="s">
        <v>336</v>
      </c>
      <c r="CCK1" s="136" t="s">
        <v>246</v>
      </c>
      <c r="CCL1" s="136" t="s">
        <v>247</v>
      </c>
      <c r="CCM1" s="136" t="s">
        <v>296</v>
      </c>
      <c r="CCN1" s="136" t="s">
        <v>337</v>
      </c>
      <c r="CCO1" s="136" t="s">
        <v>338</v>
      </c>
      <c r="CCP1" s="136" t="s">
        <v>248</v>
      </c>
      <c r="CCQ1" s="136" t="s">
        <v>249</v>
      </c>
      <c r="CCR1" s="136" t="s">
        <v>297</v>
      </c>
      <c r="CCS1" s="136" t="s">
        <v>339</v>
      </c>
      <c r="CCT1" s="136" t="s">
        <v>340</v>
      </c>
      <c r="CCU1" s="136" t="s">
        <v>250</v>
      </c>
      <c r="CCV1" s="136" t="s">
        <v>251</v>
      </c>
      <c r="CCW1" s="136" t="s">
        <v>298</v>
      </c>
      <c r="CCX1" s="136" t="s">
        <v>341</v>
      </c>
      <c r="CCY1" s="136" t="s">
        <v>342</v>
      </c>
      <c r="CCZ1" s="136" t="s">
        <v>252</v>
      </c>
      <c r="CDA1" s="136" t="s">
        <v>253</v>
      </c>
      <c r="CDB1" s="136" t="s">
        <v>299</v>
      </c>
      <c r="CDC1" s="136" t="s">
        <v>343</v>
      </c>
      <c r="CDD1" s="136" t="s">
        <v>344</v>
      </c>
      <c r="CDE1" s="136" t="s">
        <v>254</v>
      </c>
      <c r="CDF1" s="136" t="s">
        <v>255</v>
      </c>
      <c r="CDG1" s="136" t="s">
        <v>300</v>
      </c>
      <c r="CDH1" s="136" t="s">
        <v>345</v>
      </c>
      <c r="CDI1" s="136" t="s">
        <v>346</v>
      </c>
      <c r="CDJ1" s="136" t="s">
        <v>256</v>
      </c>
      <c r="CDK1" s="136" t="s">
        <v>257</v>
      </c>
      <c r="CDL1" s="136" t="s">
        <v>301</v>
      </c>
      <c r="CDM1" s="136" t="s">
        <v>347</v>
      </c>
      <c r="CDN1" s="136" t="s">
        <v>348</v>
      </c>
      <c r="CDO1" s="136" t="s">
        <v>258</v>
      </c>
      <c r="CDP1" s="136" t="s">
        <v>259</v>
      </c>
      <c r="CDQ1" s="136" t="s">
        <v>302</v>
      </c>
      <c r="CDR1" s="136" t="s">
        <v>349</v>
      </c>
      <c r="CDS1" s="136" t="s">
        <v>350</v>
      </c>
      <c r="CDT1" s="136" t="s">
        <v>260</v>
      </c>
      <c r="CDU1" s="136" t="s">
        <v>261</v>
      </c>
      <c r="CDV1" s="136" t="s">
        <v>303</v>
      </c>
      <c r="CDW1" s="136" t="s">
        <v>351</v>
      </c>
      <c r="CDX1" s="136" t="s">
        <v>352</v>
      </c>
      <c r="CDY1" s="136" t="s">
        <v>262</v>
      </c>
      <c r="CDZ1" s="136" t="s">
        <v>263</v>
      </c>
      <c r="CEA1" s="136" t="s">
        <v>304</v>
      </c>
      <c r="CEB1" s="136" t="s">
        <v>353</v>
      </c>
      <c r="CEC1" s="136" t="s">
        <v>354</v>
      </c>
      <c r="CED1" s="136" t="s">
        <v>264</v>
      </c>
      <c r="CEE1" s="136" t="s">
        <v>265</v>
      </c>
      <c r="CEF1" s="136" t="s">
        <v>305</v>
      </c>
      <c r="CEG1" s="136" t="s">
        <v>355</v>
      </c>
      <c r="CEH1" s="136" t="s">
        <v>356</v>
      </c>
      <c r="CEI1" s="136" t="s">
        <v>266</v>
      </c>
      <c r="CEJ1" s="136" t="s">
        <v>267</v>
      </c>
      <c r="CEK1" s="136" t="s">
        <v>306</v>
      </c>
      <c r="CEL1" s="136" t="s">
        <v>357</v>
      </c>
      <c r="CEM1" s="136" t="s">
        <v>358</v>
      </c>
      <c r="CEN1" s="136" t="s">
        <v>268</v>
      </c>
      <c r="CEO1" s="136" t="s">
        <v>269</v>
      </c>
      <c r="CEP1" s="136" t="s">
        <v>307</v>
      </c>
      <c r="CEQ1" s="136" t="s">
        <v>359</v>
      </c>
      <c r="CER1" s="136" t="s">
        <v>360</v>
      </c>
      <c r="CES1" s="136" t="s">
        <v>270</v>
      </c>
      <c r="CET1" s="136" t="s">
        <v>271</v>
      </c>
      <c r="CEU1" s="136" t="s">
        <v>308</v>
      </c>
      <c r="CEV1" s="136" t="s">
        <v>361</v>
      </c>
      <c r="CEW1" s="136" t="s">
        <v>362</v>
      </c>
      <c r="CEX1" s="136" t="s">
        <v>272</v>
      </c>
      <c r="CEY1" s="136" t="s">
        <v>273</v>
      </c>
      <c r="CEZ1" s="136" t="s">
        <v>309</v>
      </c>
      <c r="CFA1" s="136" t="s">
        <v>363</v>
      </c>
      <c r="CFB1" s="136" t="s">
        <v>364</v>
      </c>
      <c r="CFC1" s="136" t="s">
        <v>274</v>
      </c>
      <c r="CFD1" s="136" t="s">
        <v>275</v>
      </c>
      <c r="CFE1" s="136" t="s">
        <v>310</v>
      </c>
      <c r="CFF1" s="136" t="s">
        <v>365</v>
      </c>
      <c r="CFG1" s="136" t="s">
        <v>366</v>
      </c>
      <c r="CFH1" s="136" t="s">
        <v>276</v>
      </c>
      <c r="CFI1" s="136" t="s">
        <v>277</v>
      </c>
      <c r="CFJ1" s="136" t="s">
        <v>311</v>
      </c>
      <c r="CFK1" s="136" t="s">
        <v>367</v>
      </c>
      <c r="CFL1" s="136" t="s">
        <v>368</v>
      </c>
      <c r="CFM1" s="136" t="s">
        <v>278</v>
      </c>
      <c r="CFN1" s="136" t="s">
        <v>279</v>
      </c>
      <c r="CFO1" s="136" t="s">
        <v>312</v>
      </c>
      <c r="CFP1" s="136" t="s">
        <v>369</v>
      </c>
      <c r="CFQ1" s="136" t="s">
        <v>370</v>
      </c>
      <c r="CFR1" s="136" t="s">
        <v>280</v>
      </c>
      <c r="CFS1" s="136" t="s">
        <v>281</v>
      </c>
      <c r="CFT1" s="136" t="s">
        <v>313</v>
      </c>
      <c r="CFU1" s="136" t="s">
        <v>371</v>
      </c>
      <c r="CFV1" s="136" t="s">
        <v>372</v>
      </c>
      <c r="CFW1" s="136" t="s">
        <v>282</v>
      </c>
      <c r="CFX1" s="136" t="s">
        <v>283</v>
      </c>
      <c r="CFY1" s="136" t="s">
        <v>314</v>
      </c>
      <c r="CFZ1" s="136" t="s">
        <v>373</v>
      </c>
      <c r="CGA1" s="136" t="s">
        <v>374</v>
      </c>
      <c r="CGB1" s="136" t="s">
        <v>284</v>
      </c>
      <c r="CGC1" s="136" t="s">
        <v>285</v>
      </c>
      <c r="CGD1" s="136" t="s">
        <v>315</v>
      </c>
      <c r="CGE1" s="136" t="s">
        <v>375</v>
      </c>
      <c r="CGF1" s="136" t="s">
        <v>376</v>
      </c>
      <c r="XFB1" s="136" t="s">
        <v>58</v>
      </c>
      <c r="XFC1" s="136" t="s">
        <v>157</v>
      </c>
      <c r="XFD1" s="136" t="s">
        <v>159</v>
      </c>
    </row>
    <row r="2" spans="1:2216 16381:16384">
      <c r="A2" s="139" t="s">
        <v>426</v>
      </c>
      <c r="B2" s="139">
        <v>3</v>
      </c>
      <c r="C2" s="139">
        <v>1</v>
      </c>
      <c r="D2" s="139">
        <v>1</v>
      </c>
      <c r="E2" s="139">
        <v>24</v>
      </c>
      <c r="F2" s="139" t="s">
        <v>423</v>
      </c>
      <c r="GY2" s="97" t="s">
        <v>495</v>
      </c>
      <c r="GZ2" s="141">
        <v>1</v>
      </c>
      <c r="HA2" s="141">
        <v>1</v>
      </c>
      <c r="HB2" s="141">
        <v>1</v>
      </c>
      <c r="HC2" s="141">
        <v>1</v>
      </c>
      <c r="HD2" s="141">
        <v>1</v>
      </c>
      <c r="HE2" s="141">
        <v>1</v>
      </c>
      <c r="HF2" s="141">
        <v>1</v>
      </c>
      <c r="HG2" s="141">
        <v>1</v>
      </c>
      <c r="HH2" s="141">
        <v>1</v>
      </c>
      <c r="HI2" s="141">
        <v>1</v>
      </c>
      <c r="HJ2" s="141">
        <v>1</v>
      </c>
      <c r="HK2" s="141">
        <v>1</v>
      </c>
      <c r="HL2" s="141">
        <v>1</v>
      </c>
      <c r="HM2" s="141">
        <v>1</v>
      </c>
      <c r="HN2" s="141">
        <v>1</v>
      </c>
      <c r="HO2" s="141">
        <v>1</v>
      </c>
      <c r="HP2" s="141">
        <v>1</v>
      </c>
      <c r="HQ2" s="141">
        <v>1</v>
      </c>
      <c r="HR2" s="141">
        <v>1</v>
      </c>
      <c r="HS2" s="141">
        <v>1</v>
      </c>
      <c r="HT2" s="141">
        <v>1</v>
      </c>
      <c r="HU2" s="141">
        <v>1</v>
      </c>
      <c r="HV2" s="141">
        <v>1</v>
      </c>
      <c r="HW2" s="141">
        <v>1</v>
      </c>
      <c r="HX2" s="141">
        <v>1</v>
      </c>
      <c r="HY2" s="141">
        <v>1</v>
      </c>
      <c r="HZ2" s="141">
        <v>1</v>
      </c>
      <c r="IA2" s="141">
        <v>1</v>
      </c>
      <c r="IB2" s="141">
        <v>1</v>
      </c>
      <c r="IC2" s="141">
        <v>1</v>
      </c>
      <c r="ID2" s="141">
        <v>1</v>
      </c>
      <c r="IE2" s="141">
        <v>1</v>
      </c>
      <c r="IF2" s="141">
        <v>1</v>
      </c>
      <c r="IG2" s="141">
        <v>1</v>
      </c>
      <c r="IH2" s="141">
        <v>1</v>
      </c>
      <c r="II2" s="141">
        <v>1</v>
      </c>
      <c r="IJ2" s="141">
        <v>1</v>
      </c>
      <c r="IK2" s="141">
        <v>1</v>
      </c>
      <c r="IL2" s="141">
        <v>1</v>
      </c>
      <c r="IM2" s="141">
        <v>1</v>
      </c>
      <c r="IN2" s="141">
        <v>1</v>
      </c>
      <c r="IO2" s="141">
        <v>1</v>
      </c>
      <c r="IP2" s="141">
        <v>1</v>
      </c>
      <c r="IQ2" s="141">
        <v>1</v>
      </c>
      <c r="IR2" s="141">
        <v>1</v>
      </c>
      <c r="IS2" s="141">
        <v>1</v>
      </c>
      <c r="IT2" s="141">
        <v>1</v>
      </c>
      <c r="IU2" s="141">
        <v>1</v>
      </c>
      <c r="IV2" s="141">
        <v>1</v>
      </c>
      <c r="IW2" s="141">
        <v>1</v>
      </c>
      <c r="IX2" s="141">
        <v>1</v>
      </c>
      <c r="IY2" s="141">
        <v>1</v>
      </c>
      <c r="IZ2" s="141">
        <v>1</v>
      </c>
      <c r="JA2" s="141">
        <v>1</v>
      </c>
      <c r="JB2" s="141">
        <v>1</v>
      </c>
      <c r="JC2" s="141">
        <v>1</v>
      </c>
      <c r="JD2" s="141">
        <v>1</v>
      </c>
      <c r="JE2" s="141">
        <v>1</v>
      </c>
      <c r="JF2" s="141">
        <v>1</v>
      </c>
      <c r="JG2" s="141">
        <v>1</v>
      </c>
      <c r="JH2" s="141">
        <v>1</v>
      </c>
      <c r="JI2" s="141">
        <v>1</v>
      </c>
      <c r="JJ2" s="141">
        <v>1</v>
      </c>
      <c r="JK2" s="141">
        <v>1</v>
      </c>
      <c r="JL2" s="141">
        <v>1</v>
      </c>
      <c r="JM2" s="141">
        <v>1</v>
      </c>
      <c r="JN2" s="141">
        <v>1</v>
      </c>
      <c r="JO2" s="141">
        <v>1</v>
      </c>
      <c r="JP2" s="141">
        <v>1</v>
      </c>
      <c r="JQ2" s="141">
        <v>1</v>
      </c>
      <c r="JR2" s="141">
        <v>1</v>
      </c>
      <c r="JS2" s="141">
        <v>1</v>
      </c>
      <c r="BXV2" s="142">
        <v>1</v>
      </c>
      <c r="BXW2" s="141" t="s">
        <v>155</v>
      </c>
      <c r="BXX2" s="141" t="s">
        <v>154</v>
      </c>
      <c r="BYA2" s="136">
        <v>0</v>
      </c>
      <c r="BYX2" s="141">
        <v>2</v>
      </c>
      <c r="BYY2" s="141">
        <v>2</v>
      </c>
      <c r="BYZ2" s="141">
        <v>1</v>
      </c>
      <c r="CAD2" s="141" t="s">
        <v>426</v>
      </c>
      <c r="CAE2" s="141">
        <v>1</v>
      </c>
      <c r="CAF2" s="141">
        <v>1</v>
      </c>
      <c r="CAG2" s="141" t="s">
        <v>144</v>
      </c>
      <c r="CAH2" s="141" t="s">
        <v>493</v>
      </c>
      <c r="CAI2" s="141">
        <v>1</v>
      </c>
      <c r="CAJ2" s="141">
        <v>1</v>
      </c>
      <c r="CAK2" s="141">
        <v>1</v>
      </c>
      <c r="CAM2" s="141">
        <v>1</v>
      </c>
      <c r="CAN2" s="141">
        <v>2</v>
      </c>
      <c r="CAO2" s="141">
        <v>0.12</v>
      </c>
      <c r="CAP2" s="141">
        <v>0.01</v>
      </c>
      <c r="CAQ2" s="141">
        <v>8.8999999999999996E-2</v>
      </c>
      <c r="CAR2" s="141">
        <v>3</v>
      </c>
      <c r="CAS2" s="141">
        <v>3</v>
      </c>
      <c r="CAT2" s="141">
        <v>0.12</v>
      </c>
      <c r="CAU2" s="141">
        <v>0.01</v>
      </c>
      <c r="CAV2" s="141">
        <v>8.8999999999999996E-2</v>
      </c>
      <c r="XFA2" s="139"/>
      <c r="XFB2" s="139" t="s">
        <v>144</v>
      </c>
      <c r="XFC2" s="136">
        <v>1</v>
      </c>
      <c r="XFD2" s="136">
        <v>1</v>
      </c>
    </row>
    <row r="3" spans="1:2216 16381:16384">
      <c r="A3" s="139" t="s">
        <v>425</v>
      </c>
      <c r="B3" s="139">
        <v>2</v>
      </c>
      <c r="C3" s="139">
        <v>1</v>
      </c>
      <c r="D3" s="139">
        <v>1</v>
      </c>
      <c r="E3" s="139">
        <v>14</v>
      </c>
      <c r="F3" s="139" t="s">
        <v>423</v>
      </c>
      <c r="GY3" s="97" t="s">
        <v>492</v>
      </c>
      <c r="GZ3" s="141">
        <v>1111</v>
      </c>
      <c r="HA3" s="141">
        <v>1</v>
      </c>
      <c r="HB3" s="141">
        <v>3</v>
      </c>
      <c r="HC3" s="141">
        <v>2</v>
      </c>
      <c r="HD3" s="141">
        <v>2</v>
      </c>
      <c r="HE3" s="141">
        <v>2</v>
      </c>
      <c r="HF3" s="141">
        <v>2</v>
      </c>
      <c r="HG3" s="141">
        <v>2</v>
      </c>
      <c r="HH3" s="141">
        <v>2</v>
      </c>
      <c r="HI3" s="141">
        <v>2</v>
      </c>
      <c r="HJ3" s="141">
        <v>2</v>
      </c>
      <c r="HK3" s="141">
        <v>2</v>
      </c>
      <c r="HL3" s="141">
        <v>2</v>
      </c>
      <c r="HM3" s="141">
        <v>2</v>
      </c>
      <c r="HN3" s="141">
        <v>2</v>
      </c>
      <c r="HO3" s="141">
        <v>2</v>
      </c>
      <c r="HP3" s="141">
        <v>1</v>
      </c>
      <c r="HQ3" s="141">
        <v>3</v>
      </c>
      <c r="HR3" s="141">
        <v>2</v>
      </c>
      <c r="HS3" s="141">
        <v>1</v>
      </c>
      <c r="HT3" s="141">
        <v>2</v>
      </c>
      <c r="HU3" s="141">
        <v>2</v>
      </c>
      <c r="HV3" s="141">
        <v>2</v>
      </c>
      <c r="HW3" s="141">
        <v>2</v>
      </c>
      <c r="HX3" s="141">
        <v>2</v>
      </c>
      <c r="HY3" s="141">
        <v>2</v>
      </c>
      <c r="HZ3" s="141">
        <v>2</v>
      </c>
      <c r="IA3" s="141">
        <v>2</v>
      </c>
      <c r="BXV3" s="142">
        <v>1</v>
      </c>
      <c r="BXW3" s="141" t="s">
        <v>403</v>
      </c>
      <c r="BXX3" s="141" t="s">
        <v>154</v>
      </c>
      <c r="BYA3" s="136">
        <v>0</v>
      </c>
      <c r="BYX3" s="141">
        <v>2</v>
      </c>
      <c r="BYY3" s="141">
        <v>1</v>
      </c>
      <c r="BYZ3" s="141">
        <v>1</v>
      </c>
      <c r="CAM3" s="141">
        <v>1</v>
      </c>
      <c r="CAN3" s="141">
        <v>1</v>
      </c>
      <c r="CAO3" s="141">
        <v>0.24</v>
      </c>
      <c r="CAP3" s="141">
        <v>0</v>
      </c>
      <c r="CAQ3" s="141">
        <v>0.129</v>
      </c>
      <c r="CAR3" s="141">
        <v>2</v>
      </c>
      <c r="CAS3" s="141">
        <v>2</v>
      </c>
      <c r="CAT3" s="141">
        <v>0.26</v>
      </c>
      <c r="CAU3" s="141">
        <v>0</v>
      </c>
      <c r="CAV3" s="141">
        <v>0.129</v>
      </c>
      <c r="XFA3" s="139"/>
      <c r="XFB3" s="139" t="s">
        <v>158</v>
      </c>
      <c r="XFC3" s="139">
        <v>2</v>
      </c>
      <c r="XFD3" s="139">
        <v>2</v>
      </c>
    </row>
    <row r="4" spans="1:2216 16381:16384">
      <c r="A4" s="139" t="s">
        <v>489</v>
      </c>
      <c r="B4" s="139">
        <v>10</v>
      </c>
      <c r="C4" s="139">
        <v>3</v>
      </c>
      <c r="D4" s="139">
        <v>10</v>
      </c>
      <c r="E4" s="139">
        <v>4</v>
      </c>
      <c r="F4" s="139" t="s">
        <v>423</v>
      </c>
      <c r="G4" s="139"/>
      <c r="GY4" s="95"/>
      <c r="BXV4" s="142">
        <v>1</v>
      </c>
      <c r="BYA4" s="136">
        <v>0</v>
      </c>
      <c r="BYD4" s="136">
        <v>0</v>
      </c>
      <c r="BYG4" s="136">
        <v>0</v>
      </c>
      <c r="BYX4" s="141">
        <v>2</v>
      </c>
      <c r="BYY4" s="141">
        <v>5</v>
      </c>
      <c r="BYZ4" s="141">
        <v>5</v>
      </c>
      <c r="CAM4" s="141">
        <v>1</v>
      </c>
      <c r="CAN4" s="141">
        <v>5</v>
      </c>
      <c r="CAO4" s="141">
        <v>0.09</v>
      </c>
      <c r="CAP4" s="141">
        <v>0</v>
      </c>
      <c r="CAQ4" s="141">
        <v>0.09</v>
      </c>
      <c r="CAR4" s="141">
        <v>6</v>
      </c>
      <c r="CAS4" s="141">
        <v>10</v>
      </c>
      <c r="CAT4" s="141">
        <v>0.09</v>
      </c>
      <c r="CAU4" s="141">
        <v>0</v>
      </c>
      <c r="CAV4" s="141">
        <v>0.09</v>
      </c>
      <c r="XFA4" s="139"/>
      <c r="XFB4" s="139"/>
      <c r="XFC4" s="139">
        <v>3</v>
      </c>
      <c r="XFD4" s="139">
        <v>3</v>
      </c>
    </row>
    <row r="5" spans="1:2216 16381:16384">
      <c r="A5" s="139" t="s">
        <v>422</v>
      </c>
      <c r="B5" s="139">
        <v>4</v>
      </c>
      <c r="C5" s="139">
        <v>1</v>
      </c>
      <c r="D5" s="139">
        <v>1</v>
      </c>
      <c r="E5" s="139">
        <v>16</v>
      </c>
      <c r="F5" s="139" t="s">
        <v>423</v>
      </c>
      <c r="G5" s="139"/>
      <c r="GY5" s="95" t="s">
        <v>424</v>
      </c>
      <c r="GZ5" s="141">
        <v>0.41</v>
      </c>
      <c r="HA5" s="141">
        <v>0.41199999999999998</v>
      </c>
      <c r="HB5" s="141">
        <v>0.46700000000000003</v>
      </c>
      <c r="HC5" s="141">
        <v>0.46800000000000003</v>
      </c>
      <c r="HD5" s="141">
        <v>0.47099999999999997</v>
      </c>
      <c r="HE5" s="141">
        <v>0.47299999999999998</v>
      </c>
      <c r="HF5" s="141">
        <v>0.41</v>
      </c>
      <c r="HG5" s="141">
        <v>0.40600000000000003</v>
      </c>
      <c r="HH5" s="141">
        <v>0.41599999999999998</v>
      </c>
      <c r="HI5" s="141">
        <v>0.41199999999999998</v>
      </c>
      <c r="HJ5" s="141">
        <v>0.46700000000000003</v>
      </c>
      <c r="HK5" s="141">
        <v>0.46600000000000003</v>
      </c>
      <c r="HL5" s="141">
        <v>0.46700000000000003</v>
      </c>
      <c r="HM5" s="141">
        <v>0.46400000000000002</v>
      </c>
      <c r="HN5" s="141">
        <v>0.41299999999999998</v>
      </c>
      <c r="HO5" s="141">
        <v>0.41</v>
      </c>
      <c r="HP5" s="141">
        <v>0.41499999999999998</v>
      </c>
      <c r="HQ5" s="141">
        <v>0.41499999999999998</v>
      </c>
      <c r="HR5" s="141">
        <v>0.46400000000000002</v>
      </c>
      <c r="HS5" s="141">
        <v>0.46100000000000002</v>
      </c>
      <c r="HT5" s="141">
        <v>0.46300000000000002</v>
      </c>
      <c r="HU5" s="141">
        <v>0.46100000000000002</v>
      </c>
      <c r="HV5" s="141">
        <v>0.41199999999999998</v>
      </c>
      <c r="HW5" s="141">
        <v>0.41</v>
      </c>
      <c r="HX5" s="141">
        <v>0.41399999999999998</v>
      </c>
      <c r="HY5" s="141">
        <v>0.40899999999999997</v>
      </c>
      <c r="HZ5" s="141">
        <v>0.45900000000000002</v>
      </c>
      <c r="IA5" s="141">
        <v>0.45400000000000001</v>
      </c>
      <c r="IB5" s="141">
        <v>0.45400000000000001</v>
      </c>
      <c r="IC5" s="141">
        <v>0.45200000000000001</v>
      </c>
      <c r="ID5" s="141">
        <v>0.40699999999999997</v>
      </c>
      <c r="IE5" s="141">
        <v>0.40600000000000003</v>
      </c>
      <c r="IF5" s="141">
        <v>0.40500000000000003</v>
      </c>
      <c r="IG5" s="141">
        <v>0.39</v>
      </c>
      <c r="IH5" s="141">
        <v>0.42299999999999999</v>
      </c>
      <c r="II5" s="141">
        <v>0.42699999999999999</v>
      </c>
      <c r="IJ5" s="141">
        <v>0.432</v>
      </c>
      <c r="IK5" s="141">
        <v>0.42899999999999999</v>
      </c>
      <c r="IL5" s="141">
        <v>0.38900000000000001</v>
      </c>
      <c r="IM5" s="141">
        <v>0.38900000000000001</v>
      </c>
      <c r="IN5" s="141">
        <v>0.39500000000000002</v>
      </c>
      <c r="IO5" s="141">
        <v>0.39200000000000002</v>
      </c>
      <c r="IP5" s="141">
        <v>0.42499999999999999</v>
      </c>
      <c r="IQ5" s="141">
        <v>0.42599999999999999</v>
      </c>
      <c r="IR5" s="141">
        <v>0.432</v>
      </c>
      <c r="IS5" s="141">
        <v>0.42899999999999999</v>
      </c>
      <c r="IT5" s="141">
        <v>0.39400000000000002</v>
      </c>
      <c r="IU5" s="141">
        <v>0.38600000000000001</v>
      </c>
      <c r="IV5" s="141">
        <v>0.39700000000000002</v>
      </c>
      <c r="IW5" s="141">
        <v>0.39600000000000002</v>
      </c>
      <c r="IX5" s="141">
        <v>0.42799999999999999</v>
      </c>
      <c r="IY5" s="141">
        <v>0.42599999999999999</v>
      </c>
      <c r="IZ5" s="141">
        <v>0.44</v>
      </c>
      <c r="JA5" s="141">
        <v>0.439</v>
      </c>
      <c r="JB5" s="141">
        <v>0.39900000000000002</v>
      </c>
      <c r="JC5" s="141">
        <v>0.39600000000000002</v>
      </c>
      <c r="JD5" s="141">
        <v>0.40899999999999997</v>
      </c>
      <c r="JE5" s="141">
        <v>0.40200000000000002</v>
      </c>
      <c r="JF5" s="141">
        <v>0.434</v>
      </c>
      <c r="JG5" s="141">
        <v>0.434</v>
      </c>
      <c r="JH5" s="141">
        <v>0.442</v>
      </c>
      <c r="JI5" s="141">
        <v>0.44500000000000001</v>
      </c>
      <c r="JJ5" s="141">
        <v>0.40500000000000003</v>
      </c>
      <c r="JK5" s="141">
        <v>0.39900000000000002</v>
      </c>
      <c r="BXV5" s="142">
        <v>1</v>
      </c>
      <c r="BXW5" s="141" t="s">
        <v>403</v>
      </c>
      <c r="BXX5" s="141" t="s">
        <v>154</v>
      </c>
      <c r="BYA5" s="136">
        <v>0</v>
      </c>
      <c r="BYX5" s="141">
        <v>1</v>
      </c>
      <c r="BYY5" s="141">
        <v>4</v>
      </c>
      <c r="CAM5" s="141">
        <v>1</v>
      </c>
      <c r="CAN5" s="141">
        <v>4</v>
      </c>
      <c r="CAO5" s="141">
        <v>0.11</v>
      </c>
      <c r="CAP5" s="141">
        <v>0</v>
      </c>
      <c r="CAQ5" s="141">
        <v>8.8999999999999996E-2</v>
      </c>
      <c r="XFA5" s="139"/>
      <c r="XFB5" s="139"/>
      <c r="XFC5" s="139">
        <v>4</v>
      </c>
      <c r="XFD5" s="139">
        <v>4</v>
      </c>
    </row>
    <row r="6" spans="1:2216 16381:16384">
      <c r="A6" s="139" t="s">
        <v>427</v>
      </c>
      <c r="B6" s="139">
        <v>2</v>
      </c>
      <c r="C6" s="139">
        <v>2</v>
      </c>
      <c r="D6" s="139">
        <v>1</v>
      </c>
      <c r="E6" s="139">
        <v>12</v>
      </c>
      <c r="F6" s="139" t="s">
        <v>423</v>
      </c>
      <c r="GY6" s="95" t="s">
        <v>428</v>
      </c>
      <c r="GZ6" s="141">
        <v>0.377</v>
      </c>
      <c r="HA6" s="141">
        <v>0.45</v>
      </c>
      <c r="HB6" s="141">
        <v>0.439</v>
      </c>
      <c r="HC6" s="141">
        <v>0.379</v>
      </c>
      <c r="HD6" s="141">
        <v>0.375</v>
      </c>
      <c r="HE6" s="141">
        <v>0.42699999999999999</v>
      </c>
      <c r="HF6" s="141">
        <v>0.41599999999999998</v>
      </c>
      <c r="HG6" s="141">
        <v>0.36699999999999999</v>
      </c>
      <c r="HH6" s="141">
        <v>0.37</v>
      </c>
      <c r="HI6" s="141">
        <v>0.40500000000000003</v>
      </c>
      <c r="HJ6" s="141">
        <v>0.39</v>
      </c>
      <c r="HK6" s="141">
        <v>0.36099999999999999</v>
      </c>
      <c r="HL6" s="141">
        <v>0.377</v>
      </c>
      <c r="HM6" s="141">
        <v>0.4</v>
      </c>
      <c r="HN6" s="141">
        <v>0.39200000000000002</v>
      </c>
      <c r="HO6" s="141">
        <v>0.375</v>
      </c>
      <c r="HP6" s="141">
        <v>0.39200000000000002</v>
      </c>
      <c r="HQ6" s="141">
        <v>0.39100000000000001</v>
      </c>
      <c r="HR6" s="141">
        <v>0.40100000000000002</v>
      </c>
      <c r="HS6" s="141">
        <v>0.38700000000000001</v>
      </c>
      <c r="HT6" s="141">
        <v>0.40600000000000003</v>
      </c>
      <c r="HU6" s="141">
        <v>0.39600000000000002</v>
      </c>
      <c r="HV6" s="141">
        <v>0.39300000000000002</v>
      </c>
      <c r="HW6" s="141">
        <v>0.40300000000000002</v>
      </c>
      <c r="BXV6" s="142">
        <v>1</v>
      </c>
      <c r="BXW6" s="141" t="s">
        <v>403</v>
      </c>
      <c r="BXX6" s="141" t="s">
        <v>154</v>
      </c>
      <c r="BYA6" s="136">
        <v>0</v>
      </c>
      <c r="BYD6" s="136">
        <v>0</v>
      </c>
      <c r="BYX6" s="141">
        <v>1</v>
      </c>
      <c r="BYY6" s="141">
        <v>2</v>
      </c>
      <c r="CAM6" s="141">
        <v>1</v>
      </c>
      <c r="CAN6" s="141">
        <v>2</v>
      </c>
      <c r="CAO6" s="141">
        <v>0.12</v>
      </c>
      <c r="CAP6" s="141">
        <v>0.01</v>
      </c>
      <c r="CAQ6" s="141">
        <v>8.8999999999999996E-2</v>
      </c>
      <c r="XFA6" s="139"/>
      <c r="XFB6" s="139"/>
      <c r="XFC6" s="139">
        <v>5</v>
      </c>
      <c r="XFD6" s="139">
        <v>5</v>
      </c>
    </row>
    <row r="7" spans="1:2216 16381:16384">
      <c r="A7" s="139" t="s">
        <v>429</v>
      </c>
      <c r="B7" s="139">
        <v>4</v>
      </c>
      <c r="C7" s="139">
        <v>1</v>
      </c>
      <c r="D7" s="139">
        <v>1</v>
      </c>
      <c r="E7" s="139">
        <v>10</v>
      </c>
      <c r="F7" s="139" t="s">
        <v>423</v>
      </c>
      <c r="GY7" s="95" t="s">
        <v>428</v>
      </c>
      <c r="GZ7" s="141">
        <v>0.41499999999999998</v>
      </c>
      <c r="HA7" s="141">
        <v>0.41099999999999998</v>
      </c>
      <c r="HB7" s="141">
        <v>0.47199999999999998</v>
      </c>
      <c r="HC7" s="141">
        <v>0.47299999999999998</v>
      </c>
      <c r="HD7" s="141">
        <v>0.439</v>
      </c>
      <c r="HE7" s="141">
        <v>0.436</v>
      </c>
      <c r="HF7" s="141">
        <v>0.498</v>
      </c>
      <c r="HG7" s="141">
        <v>0.495</v>
      </c>
      <c r="HH7" s="141">
        <v>0.46200000000000002</v>
      </c>
      <c r="HI7" s="141">
        <v>0.45900000000000002</v>
      </c>
      <c r="HJ7" s="141">
        <v>0.51600000000000001</v>
      </c>
      <c r="HK7" s="141">
        <v>0.51400000000000001</v>
      </c>
      <c r="HL7" s="141">
        <v>0.47899999999999998</v>
      </c>
      <c r="HM7" s="141">
        <v>0.47799999999999998</v>
      </c>
      <c r="HN7" s="141">
        <v>0.52800000000000002</v>
      </c>
      <c r="HO7" s="141">
        <v>0.52900000000000003</v>
      </c>
      <c r="HP7" s="141">
        <v>0.49299999999999999</v>
      </c>
      <c r="HQ7" s="141">
        <v>0.495</v>
      </c>
      <c r="HR7" s="141">
        <v>0.54</v>
      </c>
      <c r="HS7" s="141">
        <v>0.54100000000000004</v>
      </c>
      <c r="HT7" s="141">
        <v>0.41</v>
      </c>
      <c r="HU7" s="141">
        <v>0.41099999999999998</v>
      </c>
      <c r="HV7" s="141">
        <v>0.44600000000000001</v>
      </c>
      <c r="HW7" s="141">
        <v>0.44800000000000001</v>
      </c>
      <c r="HX7" s="141">
        <v>0.42899999999999999</v>
      </c>
      <c r="HY7" s="141">
        <v>0.42299999999999999</v>
      </c>
      <c r="HZ7" s="141">
        <v>0.47299999999999998</v>
      </c>
      <c r="IA7" s="141">
        <v>0.47</v>
      </c>
      <c r="IB7" s="141">
        <v>0.45900000000000002</v>
      </c>
      <c r="IC7" s="141">
        <v>0.45900000000000002</v>
      </c>
      <c r="ID7" s="141">
        <v>0.503</v>
      </c>
      <c r="IE7" s="141">
        <v>0.503</v>
      </c>
      <c r="IF7" s="141">
        <v>0.48799999999999999</v>
      </c>
      <c r="IG7" s="141">
        <v>0.48299999999999998</v>
      </c>
      <c r="IH7" s="141">
        <v>0.52700000000000002</v>
      </c>
      <c r="II7" s="141">
        <v>0.52300000000000002</v>
      </c>
      <c r="IJ7" s="141">
        <v>0.51700000000000002</v>
      </c>
      <c r="IK7" s="141">
        <v>0.51500000000000001</v>
      </c>
      <c r="IL7" s="141">
        <v>0.55100000000000005</v>
      </c>
      <c r="IM7" s="141">
        <v>0.54600000000000004</v>
      </c>
      <c r="BXV7" s="142">
        <v>1</v>
      </c>
      <c r="BXW7" s="141" t="s">
        <v>403</v>
      </c>
      <c r="BXX7" s="141" t="s">
        <v>154</v>
      </c>
      <c r="BYA7" s="136">
        <v>0</v>
      </c>
      <c r="BYX7" s="141">
        <v>1</v>
      </c>
      <c r="BYY7" s="141">
        <v>4</v>
      </c>
      <c r="CAM7" s="141">
        <v>1</v>
      </c>
      <c r="CAN7" s="141">
        <v>4</v>
      </c>
      <c r="CAO7" s="141">
        <v>0.125</v>
      </c>
      <c r="CAP7" s="141">
        <v>0</v>
      </c>
      <c r="CAQ7" s="141">
        <v>8.8999999999999996E-2</v>
      </c>
      <c r="XFA7" s="139"/>
      <c r="XFB7" s="139"/>
      <c r="XFC7" s="139">
        <v>6</v>
      </c>
      <c r="XFD7" s="139">
        <v>6</v>
      </c>
    </row>
    <row r="8" spans="1:2216 16381:16384">
      <c r="A8" s="139" t="s">
        <v>430</v>
      </c>
      <c r="B8" s="139">
        <v>4</v>
      </c>
      <c r="C8" s="139">
        <v>1</v>
      </c>
      <c r="D8" s="139">
        <v>1</v>
      </c>
      <c r="E8" s="139">
        <v>20</v>
      </c>
      <c r="F8" s="139" t="s">
        <v>423</v>
      </c>
      <c r="GY8" s="95" t="s">
        <v>431</v>
      </c>
      <c r="GZ8" s="141">
        <v>0.215</v>
      </c>
      <c r="HA8" s="141">
        <v>0.23</v>
      </c>
      <c r="HB8" s="141">
        <v>0.19700000000000001</v>
      </c>
      <c r="HC8" s="141">
        <v>0.193</v>
      </c>
      <c r="HD8" s="141">
        <v>0.20799999999999999</v>
      </c>
      <c r="HE8" s="141">
        <v>0.21</v>
      </c>
      <c r="HF8" s="141">
        <v>0.18099999999999999</v>
      </c>
      <c r="HG8" s="141">
        <v>0.17699999999999999</v>
      </c>
      <c r="HH8" s="141">
        <v>0.19800000000000001</v>
      </c>
      <c r="HI8" s="141">
        <v>0.19700000000000001</v>
      </c>
      <c r="HJ8" s="141">
        <v>0.17299999999999999</v>
      </c>
      <c r="HK8" s="141">
        <v>0.17199999999999999</v>
      </c>
      <c r="HL8" s="141">
        <v>0.19500000000000001</v>
      </c>
      <c r="HM8" s="141">
        <v>0.19500000000000001</v>
      </c>
      <c r="HN8" s="141">
        <v>0.17100000000000001</v>
      </c>
      <c r="HO8" s="141">
        <v>0.17100000000000001</v>
      </c>
      <c r="HP8" s="141">
        <v>0.19600000000000001</v>
      </c>
      <c r="HQ8" s="141">
        <v>0.19500000000000001</v>
      </c>
      <c r="HR8" s="141">
        <v>0.17</v>
      </c>
      <c r="HS8" s="141">
        <v>0.17</v>
      </c>
      <c r="HT8" s="141">
        <v>0.19700000000000001</v>
      </c>
      <c r="HU8" s="141">
        <v>0.19600000000000001</v>
      </c>
      <c r="HV8" s="141">
        <v>0.16800000000000001</v>
      </c>
      <c r="HW8" s="141">
        <v>0.16800000000000001</v>
      </c>
      <c r="HX8" s="141">
        <v>0.19800000000000001</v>
      </c>
      <c r="HY8" s="141">
        <v>0.19700000000000001</v>
      </c>
      <c r="HZ8" s="141">
        <v>0.16800000000000001</v>
      </c>
      <c r="IA8" s="141">
        <v>0.16700000000000001</v>
      </c>
      <c r="IB8" s="141">
        <v>0.19600000000000001</v>
      </c>
      <c r="IC8" s="141">
        <v>0.19800000000000001</v>
      </c>
      <c r="ID8" s="141">
        <v>0.16400000000000001</v>
      </c>
      <c r="IE8" s="141">
        <v>0.16500000000000001</v>
      </c>
      <c r="IF8" s="141">
        <v>0.19900000000000001</v>
      </c>
      <c r="IG8" s="141">
        <v>0.19800000000000001</v>
      </c>
      <c r="IH8" s="141">
        <v>0.16700000000000001</v>
      </c>
      <c r="II8" s="141">
        <v>0.16600000000000001</v>
      </c>
      <c r="IJ8" s="141">
        <v>0.20200000000000001</v>
      </c>
      <c r="IK8" s="141">
        <v>0.2</v>
      </c>
      <c r="IL8" s="141">
        <v>0.16800000000000001</v>
      </c>
      <c r="IM8" s="141">
        <v>0.17</v>
      </c>
      <c r="IN8" s="141">
        <v>0.214</v>
      </c>
      <c r="IO8" s="141">
        <v>0.214</v>
      </c>
      <c r="IP8" s="141">
        <v>0.17599999999999999</v>
      </c>
      <c r="IQ8" s="141">
        <v>0.17699999999999999</v>
      </c>
      <c r="IR8" s="141">
        <v>0.20599999999999999</v>
      </c>
      <c r="IS8" s="141">
        <v>0.20799999999999999</v>
      </c>
      <c r="IT8" s="141">
        <v>0.17799999999999999</v>
      </c>
      <c r="IU8" s="141">
        <v>0.16900000000000001</v>
      </c>
      <c r="IV8" s="141">
        <v>0.21</v>
      </c>
      <c r="IW8" s="141">
        <v>0.21</v>
      </c>
      <c r="IX8" s="141">
        <v>0.184</v>
      </c>
      <c r="IY8" s="141">
        <v>0.18</v>
      </c>
      <c r="IZ8" s="141">
        <v>0.224</v>
      </c>
      <c r="JA8" s="141">
        <v>0.215</v>
      </c>
      <c r="JB8" s="141">
        <v>0.191</v>
      </c>
      <c r="JC8" s="141">
        <v>0.19800000000000001</v>
      </c>
      <c r="JD8" s="141">
        <v>0.245</v>
      </c>
      <c r="JE8" s="141">
        <v>0.23899999999999999</v>
      </c>
      <c r="JF8" s="141">
        <v>0.21199999999999999</v>
      </c>
      <c r="JG8" s="141">
        <v>0.216</v>
      </c>
      <c r="JH8" s="141">
        <v>0.26400000000000001</v>
      </c>
      <c r="JI8" s="141">
        <v>0.255</v>
      </c>
      <c r="JJ8" s="141">
        <v>0.22900000000000001</v>
      </c>
      <c r="JK8" s="141">
        <v>0.23699999999999999</v>
      </c>
      <c r="JL8" s="141">
        <v>0.28299999999999997</v>
      </c>
      <c r="JM8" s="141">
        <v>0.27300000000000002</v>
      </c>
      <c r="JN8" s="141">
        <v>0.248</v>
      </c>
      <c r="JO8" s="141">
        <v>0.25600000000000001</v>
      </c>
      <c r="JP8" s="141">
        <v>0.29499999999999998</v>
      </c>
      <c r="JQ8" s="141">
        <v>0.29499999999999998</v>
      </c>
      <c r="JR8" s="141">
        <v>0.27100000000000002</v>
      </c>
      <c r="JS8" s="141">
        <v>0.26900000000000002</v>
      </c>
      <c r="JT8" s="141">
        <v>0.311</v>
      </c>
      <c r="JU8" s="141">
        <v>0.31</v>
      </c>
      <c r="JV8" s="141">
        <v>0.28699999999999998</v>
      </c>
      <c r="JW8" s="141">
        <v>0.28499999999999998</v>
      </c>
      <c r="JX8" s="141">
        <v>0.32400000000000001</v>
      </c>
      <c r="JY8" s="141">
        <v>0.32200000000000001</v>
      </c>
      <c r="JZ8" s="141">
        <v>0.30099999999999999</v>
      </c>
      <c r="KA8" s="141">
        <v>0.30499999999999999</v>
      </c>
      <c r="BXV8" s="142">
        <v>1</v>
      </c>
      <c r="BXW8" s="141" t="s">
        <v>403</v>
      </c>
      <c r="BXX8" s="141" t="s">
        <v>154</v>
      </c>
      <c r="BYA8" s="136">
        <v>0</v>
      </c>
      <c r="BYX8" s="141">
        <v>2</v>
      </c>
      <c r="BYY8" s="141">
        <v>2</v>
      </c>
      <c r="BYZ8" s="141">
        <v>2</v>
      </c>
      <c r="CAM8" s="141">
        <v>1</v>
      </c>
      <c r="CAN8" s="141">
        <v>2</v>
      </c>
      <c r="CAO8" s="141">
        <v>0.115</v>
      </c>
      <c r="CAP8" s="141">
        <v>0.01</v>
      </c>
      <c r="CAQ8" s="141">
        <v>8.8999999999999996E-2</v>
      </c>
      <c r="CAR8" s="141">
        <v>3</v>
      </c>
      <c r="CAS8" s="141">
        <v>4</v>
      </c>
      <c r="CAT8" s="141">
        <v>0.115</v>
      </c>
      <c r="CAU8" s="141">
        <v>0.01</v>
      </c>
      <c r="CAV8" s="141">
        <v>8.8999999999999996E-2</v>
      </c>
      <c r="XFA8" s="139"/>
      <c r="XFB8" s="139"/>
      <c r="XFC8" s="139">
        <v>7</v>
      </c>
      <c r="XFD8" s="139">
        <v>7</v>
      </c>
    </row>
    <row r="9" spans="1:2216 16381:16384">
      <c r="A9" s="139" t="s">
        <v>432</v>
      </c>
      <c r="B9" s="139">
        <v>2</v>
      </c>
      <c r="C9" s="139">
        <v>2</v>
      </c>
      <c r="D9" s="139">
        <v>2</v>
      </c>
      <c r="E9" s="139">
        <v>24</v>
      </c>
      <c r="F9" s="139" t="s">
        <v>423</v>
      </c>
      <c r="GY9" s="95" t="s">
        <v>433</v>
      </c>
      <c r="GZ9" s="141">
        <v>0.65700000000000003</v>
      </c>
      <c r="HA9" s="141">
        <v>0.65400000000000003</v>
      </c>
      <c r="HB9" s="141">
        <v>0.65500000000000003</v>
      </c>
      <c r="HC9" s="141">
        <v>0.65300000000000002</v>
      </c>
      <c r="HD9" s="141">
        <v>0.65</v>
      </c>
      <c r="HE9" s="141">
        <v>0.64100000000000001</v>
      </c>
      <c r="HF9" s="141">
        <v>0.63900000000000001</v>
      </c>
      <c r="HG9" s="141">
        <v>0.628</v>
      </c>
      <c r="HH9" s="141">
        <v>0.625</v>
      </c>
      <c r="HI9" s="141">
        <v>0.62</v>
      </c>
      <c r="HJ9" s="141">
        <v>0.621</v>
      </c>
      <c r="HK9" s="141">
        <v>0.60599999999999998</v>
      </c>
      <c r="HL9" s="141">
        <v>0.59599999999999997</v>
      </c>
      <c r="HM9" s="141">
        <v>0.59799999999999998</v>
      </c>
      <c r="HN9" s="141">
        <v>0.59</v>
      </c>
      <c r="HO9" s="141">
        <v>0.56100000000000005</v>
      </c>
      <c r="HP9" s="141">
        <v>0.65800000000000003</v>
      </c>
      <c r="HQ9" s="141">
        <v>0.65500000000000003</v>
      </c>
      <c r="HR9" s="141">
        <v>0.65300000000000002</v>
      </c>
      <c r="HS9" s="141">
        <v>0.65200000000000002</v>
      </c>
      <c r="HT9" s="141">
        <v>0.64800000000000002</v>
      </c>
      <c r="HU9" s="141">
        <v>0.63800000000000001</v>
      </c>
      <c r="HV9" s="141">
        <v>0.63600000000000001</v>
      </c>
      <c r="HW9" s="141">
        <v>0.624</v>
      </c>
      <c r="HX9" s="141">
        <v>0.60699999999999998</v>
      </c>
      <c r="HY9" s="141">
        <v>0.59799999999999998</v>
      </c>
      <c r="HZ9" s="141">
        <v>0.59299999999999997</v>
      </c>
      <c r="IA9" s="141">
        <v>0.59099999999999997</v>
      </c>
      <c r="IB9" s="141">
        <v>0.58599999999999997</v>
      </c>
      <c r="IC9" s="141">
        <v>0.57299999999999995</v>
      </c>
      <c r="ID9" s="141">
        <v>0.56799999999999995</v>
      </c>
      <c r="IE9" s="141">
        <v>0.55800000000000005</v>
      </c>
      <c r="IF9" s="141">
        <v>0.55300000000000005</v>
      </c>
      <c r="IG9" s="141">
        <v>0.55200000000000005</v>
      </c>
      <c r="IH9" s="141">
        <v>0.55100000000000005</v>
      </c>
      <c r="II9" s="141">
        <v>0.53900000000000003</v>
      </c>
      <c r="IJ9" s="141">
        <v>0.53100000000000003</v>
      </c>
      <c r="IK9" s="141">
        <v>0.53500000000000003</v>
      </c>
      <c r="IL9" s="141">
        <v>0.52600000000000002</v>
      </c>
      <c r="IM9" s="141">
        <v>0.498</v>
      </c>
      <c r="IN9" s="141">
        <v>0.59699999999999998</v>
      </c>
      <c r="IO9" s="141">
        <v>0.59199999999999997</v>
      </c>
      <c r="IP9" s="141">
        <v>0.59</v>
      </c>
      <c r="IQ9" s="141">
        <v>0.58899999999999997</v>
      </c>
      <c r="IR9" s="141">
        <v>0.58499999999999996</v>
      </c>
      <c r="IS9" s="141">
        <v>0.56899999999999995</v>
      </c>
      <c r="IT9" s="141">
        <v>0.56799999999999995</v>
      </c>
      <c r="IU9" s="141">
        <v>0.55600000000000005</v>
      </c>
      <c r="IV9" s="141">
        <v>0.62</v>
      </c>
      <c r="IW9" s="141">
        <v>0.61799999999999999</v>
      </c>
      <c r="IX9" s="141">
        <v>0.61699999999999999</v>
      </c>
      <c r="IY9" s="141">
        <v>0.60299999999999998</v>
      </c>
      <c r="IZ9" s="141">
        <v>0.59099999999999997</v>
      </c>
      <c r="JA9" s="141">
        <v>0.59399999999999997</v>
      </c>
      <c r="JB9" s="141">
        <v>0.58899999999999997</v>
      </c>
      <c r="JC9" s="141">
        <v>0.56299999999999994</v>
      </c>
      <c r="JD9" s="141">
        <v>0.65200000000000002</v>
      </c>
      <c r="JE9" s="141">
        <v>0.64700000000000002</v>
      </c>
      <c r="JF9" s="141">
        <v>0.64700000000000002</v>
      </c>
      <c r="JG9" s="141">
        <v>0.64600000000000002</v>
      </c>
      <c r="JH9" s="141">
        <v>0.64100000000000001</v>
      </c>
      <c r="JI9" s="141">
        <v>0.629</v>
      </c>
      <c r="JJ9" s="141">
        <v>0.627</v>
      </c>
      <c r="JK9" s="141">
        <v>0.61899999999999999</v>
      </c>
      <c r="JL9" s="141">
        <v>0.61299999999999999</v>
      </c>
      <c r="JM9" s="141">
        <v>0.61099999999999999</v>
      </c>
      <c r="JN9" s="141">
        <v>0.60899999999999999</v>
      </c>
      <c r="JO9" s="141">
        <v>0.6</v>
      </c>
      <c r="JP9" s="141">
        <v>0.58699999999999997</v>
      </c>
      <c r="JQ9" s="141">
        <v>0.59</v>
      </c>
      <c r="JR9" s="141">
        <v>0.58499999999999996</v>
      </c>
      <c r="JS9" s="141">
        <v>0.55900000000000005</v>
      </c>
      <c r="JT9" s="141">
        <v>0.55100000000000005</v>
      </c>
      <c r="JU9" s="141">
        <v>0.55100000000000005</v>
      </c>
      <c r="JV9" s="141">
        <v>0.55200000000000005</v>
      </c>
      <c r="JW9" s="141">
        <v>0.54200000000000004</v>
      </c>
      <c r="JX9" s="141">
        <v>0.53400000000000003</v>
      </c>
      <c r="JY9" s="141">
        <v>0.53600000000000003</v>
      </c>
      <c r="JZ9" s="141">
        <v>0.53300000000000003</v>
      </c>
      <c r="KA9" s="141">
        <v>0.50800000000000001</v>
      </c>
      <c r="KB9" s="141">
        <v>0.59</v>
      </c>
      <c r="KC9" s="141">
        <v>0.58099999999999996</v>
      </c>
      <c r="KD9" s="141">
        <v>0.57999999999999996</v>
      </c>
      <c r="KE9" s="141">
        <v>0.57899999999999996</v>
      </c>
      <c r="KF9" s="141">
        <v>0.57199999999999995</v>
      </c>
      <c r="KG9" s="141">
        <v>0.55900000000000005</v>
      </c>
      <c r="KH9" s="141">
        <v>0.56000000000000005</v>
      </c>
      <c r="KI9" s="141">
        <v>0.54600000000000004</v>
      </c>
      <c r="KJ9" s="141">
        <v>0.54</v>
      </c>
      <c r="KK9" s="141">
        <v>0.54200000000000004</v>
      </c>
      <c r="KL9" s="141">
        <v>0.54100000000000004</v>
      </c>
      <c r="KM9" s="141">
        <v>0.53500000000000003</v>
      </c>
      <c r="KN9" s="141">
        <v>0.52400000000000002</v>
      </c>
      <c r="KO9" s="141">
        <v>0.52800000000000002</v>
      </c>
      <c r="KP9" s="141">
        <v>0.52400000000000002</v>
      </c>
      <c r="KQ9" s="141">
        <v>0.503</v>
      </c>
      <c r="BXV9" s="142">
        <v>1</v>
      </c>
      <c r="BXW9" s="141" t="s">
        <v>403</v>
      </c>
      <c r="BXX9" s="141" t="s">
        <v>154</v>
      </c>
      <c r="BYA9" s="136">
        <v>0</v>
      </c>
      <c r="BYD9" s="136">
        <v>0</v>
      </c>
      <c r="BYX9" s="141">
        <v>1</v>
      </c>
      <c r="BYY9" s="141">
        <v>2</v>
      </c>
      <c r="CAM9" s="141">
        <v>1</v>
      </c>
      <c r="CAN9" s="141">
        <v>2</v>
      </c>
      <c r="CAO9" s="141">
        <v>0.126</v>
      </c>
      <c r="CAP9" s="141">
        <v>0.01</v>
      </c>
      <c r="CAQ9" s="141">
        <v>0.14899999999999999</v>
      </c>
      <c r="XFA9" s="139"/>
      <c r="XFB9" s="139"/>
      <c r="XFC9" s="139">
        <v>8.1</v>
      </c>
      <c r="XFD9" s="139"/>
    </row>
    <row r="10" spans="1:2216 16381:16384">
      <c r="A10" s="139" t="s">
        <v>434</v>
      </c>
      <c r="B10" s="139">
        <v>4</v>
      </c>
      <c r="C10" s="139">
        <v>1</v>
      </c>
      <c r="D10" s="139">
        <v>1</v>
      </c>
      <c r="E10" s="139">
        <v>20</v>
      </c>
      <c r="F10" s="139" t="s">
        <v>423</v>
      </c>
      <c r="GY10" s="95" t="s">
        <v>435</v>
      </c>
      <c r="GZ10" s="141">
        <v>0.27500000000000002</v>
      </c>
      <c r="HA10" s="141">
        <v>0.27500000000000002</v>
      </c>
      <c r="HB10" s="141">
        <v>0.22700000000000001</v>
      </c>
      <c r="HC10" s="141">
        <v>0.22600000000000001</v>
      </c>
      <c r="HD10" s="141">
        <v>0.27500000000000002</v>
      </c>
      <c r="HE10" s="141">
        <v>0.27500000000000002</v>
      </c>
      <c r="HF10" s="141">
        <v>0.22600000000000001</v>
      </c>
      <c r="HG10" s="141">
        <v>0.22700000000000001</v>
      </c>
      <c r="HH10" s="141">
        <v>0.27800000000000002</v>
      </c>
      <c r="HI10" s="141">
        <v>0.27800000000000002</v>
      </c>
      <c r="HJ10" s="141">
        <v>0.23</v>
      </c>
      <c r="HK10" s="141">
        <v>0.22600000000000001</v>
      </c>
      <c r="HL10" s="141">
        <v>0.28100000000000003</v>
      </c>
      <c r="HM10" s="141">
        <v>0.28000000000000003</v>
      </c>
      <c r="HN10" s="141">
        <v>0.22800000000000001</v>
      </c>
      <c r="HO10" s="141">
        <v>0.224</v>
      </c>
      <c r="HP10" s="141">
        <v>0.28000000000000003</v>
      </c>
      <c r="HQ10" s="141">
        <v>0.28000000000000003</v>
      </c>
      <c r="HR10" s="141">
        <v>0.22500000000000001</v>
      </c>
      <c r="HS10" s="141">
        <v>0.222</v>
      </c>
      <c r="HT10" s="141">
        <v>0.28000000000000003</v>
      </c>
      <c r="HU10" s="141">
        <v>0.28000000000000003</v>
      </c>
      <c r="HV10" s="141">
        <v>0.22</v>
      </c>
      <c r="HW10" s="141">
        <v>0.221</v>
      </c>
      <c r="HX10" s="141">
        <v>0.27500000000000002</v>
      </c>
      <c r="HY10" s="141">
        <v>0.27600000000000002</v>
      </c>
      <c r="HZ10" s="141">
        <v>0.221</v>
      </c>
      <c r="IA10" s="141">
        <v>0.219</v>
      </c>
      <c r="IB10" s="141">
        <v>0.27100000000000002</v>
      </c>
      <c r="IC10" s="141">
        <v>0.27</v>
      </c>
      <c r="ID10" s="141">
        <v>0.216</v>
      </c>
      <c r="IE10" s="141">
        <v>0.21299999999999999</v>
      </c>
      <c r="IF10" s="141">
        <v>0.26800000000000002</v>
      </c>
      <c r="IG10" s="141">
        <v>0.26600000000000001</v>
      </c>
      <c r="IH10" s="141">
        <v>0.21099999999999999</v>
      </c>
      <c r="II10" s="141">
        <v>0.20899999999999999</v>
      </c>
      <c r="IJ10" s="141">
        <v>0.26100000000000001</v>
      </c>
      <c r="IK10" s="141">
        <v>0.26100000000000001</v>
      </c>
      <c r="IL10" s="141">
        <v>0.20200000000000001</v>
      </c>
      <c r="IM10" s="141">
        <v>0.19800000000000001</v>
      </c>
      <c r="IN10" s="141">
        <v>0.215</v>
      </c>
      <c r="IO10" s="141">
        <v>0.20399999999999999</v>
      </c>
      <c r="IP10" s="141">
        <v>0.14899999999999999</v>
      </c>
      <c r="IQ10" s="141">
        <v>0.14099999999999999</v>
      </c>
      <c r="IR10" s="141">
        <v>0.21299999999999999</v>
      </c>
      <c r="IS10" s="141">
        <v>0.21</v>
      </c>
      <c r="IT10" s="141">
        <v>0.14899999999999999</v>
      </c>
      <c r="IU10" s="141">
        <v>0.14799999999999999</v>
      </c>
      <c r="IV10" s="141">
        <v>0.218</v>
      </c>
      <c r="IW10" s="141">
        <v>0.216</v>
      </c>
      <c r="IX10" s="141">
        <v>0.156</v>
      </c>
      <c r="IY10" s="141">
        <v>0.15</v>
      </c>
      <c r="IZ10" s="141">
        <v>0.218</v>
      </c>
      <c r="JA10" s="141">
        <v>0.223</v>
      </c>
      <c r="JB10" s="141">
        <v>0.153</v>
      </c>
      <c r="JC10" s="141">
        <v>0.155</v>
      </c>
      <c r="JD10" s="141">
        <v>0.222</v>
      </c>
      <c r="JE10" s="141">
        <v>0.22700000000000001</v>
      </c>
      <c r="JF10" s="141">
        <v>0.157</v>
      </c>
      <c r="JG10" s="141">
        <v>0.16200000000000001</v>
      </c>
      <c r="JH10" s="141">
        <v>0.23300000000000001</v>
      </c>
      <c r="JI10" s="141">
        <v>0.23400000000000001</v>
      </c>
      <c r="JJ10" s="141">
        <v>0.16400000000000001</v>
      </c>
      <c r="JK10" s="141">
        <v>0.16500000000000001</v>
      </c>
      <c r="JL10" s="141">
        <v>0.23599999999999999</v>
      </c>
      <c r="JM10" s="141">
        <v>0.23</v>
      </c>
      <c r="JN10" s="141">
        <v>0.17499999999999999</v>
      </c>
      <c r="JO10" s="141">
        <v>0.16800000000000001</v>
      </c>
      <c r="JP10" s="141">
        <v>0.23599999999999999</v>
      </c>
      <c r="JQ10" s="141">
        <v>0.23100000000000001</v>
      </c>
      <c r="JR10" s="141">
        <v>0.17699999999999999</v>
      </c>
      <c r="JS10" s="141">
        <v>0.17299999999999999</v>
      </c>
      <c r="JT10" s="141">
        <v>0.23499999999999999</v>
      </c>
      <c r="JU10" s="141">
        <v>0.23</v>
      </c>
      <c r="JV10" s="141">
        <v>0.17799999999999999</v>
      </c>
      <c r="JW10" s="141">
        <v>0.17199999999999999</v>
      </c>
      <c r="JX10" s="141">
        <v>0.216</v>
      </c>
      <c r="JY10" s="141">
        <v>0.20799999999999999</v>
      </c>
      <c r="JZ10" s="141">
        <v>0.158</v>
      </c>
      <c r="KA10" s="141">
        <v>0.15</v>
      </c>
      <c r="BXV10" s="142">
        <v>1</v>
      </c>
      <c r="BXW10" s="141" t="s">
        <v>403</v>
      </c>
      <c r="BXX10" s="141" t="s">
        <v>154</v>
      </c>
      <c r="BYA10" s="136">
        <v>0</v>
      </c>
      <c r="BYX10" s="141">
        <v>2</v>
      </c>
      <c r="BYY10" s="141">
        <v>2</v>
      </c>
      <c r="BYZ10" s="141">
        <v>2</v>
      </c>
      <c r="CAM10" s="141">
        <v>1</v>
      </c>
      <c r="CAN10" s="141">
        <v>2</v>
      </c>
      <c r="CAO10" s="141">
        <v>0.12</v>
      </c>
      <c r="CAP10" s="141">
        <v>0.01</v>
      </c>
      <c r="CAQ10" s="141">
        <v>8.8999999999999996E-2</v>
      </c>
      <c r="CAR10" s="141">
        <v>3</v>
      </c>
      <c r="CAS10" s="141">
        <v>4</v>
      </c>
      <c r="CAT10" s="141">
        <v>0.12</v>
      </c>
      <c r="CAU10" s="141">
        <v>0.01</v>
      </c>
      <c r="CAV10" s="141">
        <v>8.8999999999999996E-2</v>
      </c>
      <c r="XFA10" s="139"/>
      <c r="XFB10" s="139"/>
      <c r="XFC10" s="139">
        <v>8.1999999999999993</v>
      </c>
      <c r="XFD10" s="139"/>
    </row>
    <row r="11" spans="1:2216 16381:16384">
      <c r="A11" s="139" t="s">
        <v>436</v>
      </c>
      <c r="B11" s="139">
        <v>4</v>
      </c>
      <c r="C11" s="139">
        <v>1</v>
      </c>
      <c r="D11" s="139">
        <v>3</v>
      </c>
      <c r="E11" s="139">
        <v>10</v>
      </c>
      <c r="F11" s="139" t="s">
        <v>423</v>
      </c>
      <c r="GY11" s="95" t="s">
        <v>437</v>
      </c>
      <c r="GZ11" s="141">
        <v>0.77</v>
      </c>
      <c r="HA11" s="141">
        <v>0.78100000000000003</v>
      </c>
      <c r="HB11" s="141">
        <v>0.77400000000000002</v>
      </c>
      <c r="HC11" s="141">
        <v>0.78100000000000003</v>
      </c>
      <c r="HD11" s="141">
        <v>0.76500000000000001</v>
      </c>
      <c r="HE11" s="141">
        <v>0.77400000000000002</v>
      </c>
      <c r="HF11" s="141">
        <v>0.76400000000000001</v>
      </c>
      <c r="HG11" s="141">
        <v>0.77</v>
      </c>
      <c r="HH11" s="141">
        <v>0.75600000000000001</v>
      </c>
      <c r="HI11" s="141">
        <v>0.76200000000000001</v>
      </c>
      <c r="HJ11" s="141">
        <v>0.753</v>
      </c>
      <c r="HK11" s="141">
        <v>0.75800000000000001</v>
      </c>
      <c r="HL11" s="141">
        <v>0.749</v>
      </c>
      <c r="HM11" s="141">
        <v>0.754</v>
      </c>
      <c r="HN11" s="141">
        <v>0.745</v>
      </c>
      <c r="HO11" s="141">
        <v>0.749</v>
      </c>
      <c r="HP11" s="141">
        <v>0.73899999999999999</v>
      </c>
      <c r="HQ11" s="141">
        <v>0.745</v>
      </c>
      <c r="HR11" s="141">
        <v>0.73199999999999998</v>
      </c>
      <c r="HS11" s="141">
        <v>0.73799999999999999</v>
      </c>
      <c r="HT11" s="141">
        <v>0.72299999999999998</v>
      </c>
      <c r="HU11" s="141">
        <v>0.72899999999999998</v>
      </c>
      <c r="HV11" s="141">
        <v>0.72</v>
      </c>
      <c r="HW11" s="141">
        <v>0.72499999999999998</v>
      </c>
      <c r="HX11" s="141">
        <v>0.71499999999999997</v>
      </c>
      <c r="HY11" s="141">
        <v>0.72</v>
      </c>
      <c r="HZ11" s="141">
        <v>0.70599999999999996</v>
      </c>
      <c r="IA11" s="141">
        <v>0.71099999999999997</v>
      </c>
      <c r="IB11" s="141">
        <v>0.69899999999999995</v>
      </c>
      <c r="IC11" s="141">
        <v>0.70499999999999996</v>
      </c>
      <c r="ID11" s="141">
        <v>0.69</v>
      </c>
      <c r="IE11" s="141">
        <v>0.69599999999999995</v>
      </c>
      <c r="IF11" s="141">
        <v>0.68100000000000005</v>
      </c>
      <c r="IG11" s="141">
        <v>0.68500000000000005</v>
      </c>
      <c r="IH11" s="141">
        <v>0.67300000000000004</v>
      </c>
      <c r="II11" s="141">
        <v>0.67700000000000005</v>
      </c>
      <c r="IJ11" s="141">
        <v>0.66400000000000003</v>
      </c>
      <c r="IK11" s="141">
        <v>0.67</v>
      </c>
      <c r="IL11" s="141">
        <v>0.65700000000000003</v>
      </c>
      <c r="IM11" s="141">
        <v>0.66400000000000003</v>
      </c>
      <c r="IN11" s="141">
        <v>0.80900000000000005</v>
      </c>
      <c r="IO11" s="141">
        <v>0.80700000000000005</v>
      </c>
      <c r="IP11" s="141">
        <v>0.78900000000000003</v>
      </c>
      <c r="IQ11" s="141">
        <v>0.79400000000000004</v>
      </c>
      <c r="IR11" s="141">
        <v>0.79400000000000004</v>
      </c>
      <c r="IS11" s="141">
        <v>0.79900000000000004</v>
      </c>
      <c r="IT11" s="141">
        <v>0.78</v>
      </c>
      <c r="IU11" s="141">
        <v>0.78600000000000003</v>
      </c>
      <c r="IV11" s="141">
        <v>0.78900000000000003</v>
      </c>
      <c r="IW11" s="141">
        <v>0.79300000000000004</v>
      </c>
      <c r="IX11" s="141">
        <v>0.77300000000000002</v>
      </c>
      <c r="IY11" s="141">
        <v>0.78</v>
      </c>
      <c r="IZ11" s="141">
        <v>0.78100000000000003</v>
      </c>
      <c r="JA11" s="141">
        <v>0.78600000000000003</v>
      </c>
      <c r="JB11" s="141">
        <v>0.76700000000000002</v>
      </c>
      <c r="JC11" s="141">
        <v>0.77300000000000002</v>
      </c>
      <c r="JD11" s="141">
        <v>0.77200000000000002</v>
      </c>
      <c r="JE11" s="141">
        <v>0.77700000000000002</v>
      </c>
      <c r="JF11" s="141">
        <v>0.75700000000000001</v>
      </c>
      <c r="JG11" s="141">
        <v>0.76300000000000001</v>
      </c>
      <c r="JH11" s="141">
        <v>0.76</v>
      </c>
      <c r="JI11" s="141">
        <v>0.76100000000000001</v>
      </c>
      <c r="JJ11" s="141">
        <v>0.74199999999999999</v>
      </c>
      <c r="JK11" s="141">
        <v>0.749</v>
      </c>
      <c r="JL11" s="141">
        <v>0.747</v>
      </c>
      <c r="JM11" s="141">
        <v>0.752</v>
      </c>
      <c r="JN11" s="141">
        <v>0.73299999999999998</v>
      </c>
      <c r="JO11" s="141">
        <v>0.73799999999999999</v>
      </c>
      <c r="JP11" s="141">
        <v>0.74</v>
      </c>
      <c r="JQ11" s="141">
        <v>0.73599999999999999</v>
      </c>
      <c r="JR11" s="141">
        <v>0.71699999999999997</v>
      </c>
      <c r="JS11" s="141">
        <v>0.72299999999999998</v>
      </c>
      <c r="JT11" s="141">
        <v>0.71699999999999997</v>
      </c>
      <c r="JU11" s="141">
        <v>0.71799999999999997</v>
      </c>
      <c r="JV11" s="141">
        <v>0.7</v>
      </c>
      <c r="JW11" s="141">
        <v>0.70399999999999996</v>
      </c>
      <c r="JX11" s="141">
        <v>0.70399999999999996</v>
      </c>
      <c r="JY11" s="141">
        <v>0.70499999999999996</v>
      </c>
      <c r="JZ11" s="141">
        <v>0.68600000000000005</v>
      </c>
      <c r="KA11" s="141">
        <v>0.69099999999999995</v>
      </c>
      <c r="KB11" s="141">
        <v>0.83099999999999996</v>
      </c>
      <c r="KC11" s="141">
        <v>0.83299999999999996</v>
      </c>
      <c r="KD11" s="141">
        <v>0.82699999999999996</v>
      </c>
      <c r="KE11" s="141">
        <v>0.82199999999999995</v>
      </c>
      <c r="KF11" s="141">
        <v>0.82299999999999995</v>
      </c>
      <c r="KG11" s="141">
        <v>0.82399999999999995</v>
      </c>
      <c r="KH11" s="141">
        <v>0.81200000000000006</v>
      </c>
      <c r="KI11" s="141">
        <v>0.81200000000000006</v>
      </c>
      <c r="KJ11" s="141">
        <v>0.81499999999999995</v>
      </c>
      <c r="KK11" s="141">
        <v>0.81799999999999995</v>
      </c>
      <c r="KL11" s="141">
        <v>0.80700000000000005</v>
      </c>
      <c r="KM11" s="141">
        <v>0.80600000000000005</v>
      </c>
      <c r="KN11" s="141">
        <v>0.80800000000000005</v>
      </c>
      <c r="KO11" s="141">
        <v>0.81</v>
      </c>
      <c r="KP11" s="141">
        <v>0.8</v>
      </c>
      <c r="KQ11" s="141">
        <v>0.79900000000000004</v>
      </c>
      <c r="KR11" s="141">
        <v>0.8</v>
      </c>
      <c r="KS11" s="141">
        <v>0.80300000000000005</v>
      </c>
      <c r="KT11" s="141">
        <v>0.79300000000000004</v>
      </c>
      <c r="KU11" s="141">
        <v>0.79200000000000004</v>
      </c>
      <c r="KV11" s="141">
        <v>0.78500000000000003</v>
      </c>
      <c r="KW11" s="141">
        <v>0.78800000000000003</v>
      </c>
      <c r="KX11" s="141">
        <v>0.77600000000000002</v>
      </c>
      <c r="KY11" s="141">
        <v>0.77500000000000002</v>
      </c>
      <c r="KZ11" s="141">
        <v>0.77400000000000002</v>
      </c>
      <c r="LA11" s="141">
        <v>0.77400000000000002</v>
      </c>
      <c r="LB11" s="141">
        <v>0.76200000000000001</v>
      </c>
      <c r="LC11" s="141">
        <v>0.76300000000000001</v>
      </c>
      <c r="LD11" s="141">
        <v>0.76100000000000001</v>
      </c>
      <c r="LE11" s="141">
        <v>0.76300000000000001</v>
      </c>
      <c r="LF11" s="141">
        <v>0.75</v>
      </c>
      <c r="LG11" s="141">
        <v>0.749</v>
      </c>
      <c r="LH11" s="141">
        <v>0.745</v>
      </c>
      <c r="LI11" s="141">
        <v>0.747</v>
      </c>
      <c r="LJ11" s="141">
        <v>0.73</v>
      </c>
      <c r="LK11" s="141">
        <v>0.73199999999999998</v>
      </c>
      <c r="LL11" s="141">
        <v>0.73299999999999998</v>
      </c>
      <c r="LM11" s="141">
        <v>0.73699999999999999</v>
      </c>
      <c r="LN11" s="141">
        <v>0.71699999999999997</v>
      </c>
      <c r="LO11" s="141">
        <v>0.71899999999999997</v>
      </c>
      <c r="BXV11" s="142">
        <v>1</v>
      </c>
      <c r="BXW11" s="141" t="s">
        <v>155</v>
      </c>
      <c r="BXX11" s="141" t="s">
        <v>154</v>
      </c>
      <c r="BYA11" s="136">
        <v>0</v>
      </c>
      <c r="BYX11" s="141">
        <v>2</v>
      </c>
      <c r="BYY11" s="141">
        <v>2</v>
      </c>
      <c r="BYZ11" s="141">
        <v>2</v>
      </c>
      <c r="CAM11" s="141">
        <v>1</v>
      </c>
      <c r="CAN11" s="141">
        <v>2</v>
      </c>
      <c r="CAO11" s="141">
        <v>0.09</v>
      </c>
      <c r="CAP11" s="141">
        <v>0.01</v>
      </c>
      <c r="CAQ11" s="141">
        <v>8.8999999999999996E-2</v>
      </c>
      <c r="CAR11" s="141">
        <v>3</v>
      </c>
      <c r="CAS11" s="141">
        <v>4</v>
      </c>
      <c r="CAT11" s="141">
        <v>0.09</v>
      </c>
      <c r="CAU11" s="141">
        <v>0.01</v>
      </c>
      <c r="CAV11" s="141">
        <v>8.8999999999999996E-2</v>
      </c>
      <c r="XFA11" s="139"/>
      <c r="XFB11" s="139"/>
      <c r="XFC11" s="139">
        <v>8.3000000000000007</v>
      </c>
      <c r="XFD11" s="139"/>
    </row>
    <row r="12" spans="1:2216 16381:16384">
      <c r="A12" s="139" t="s">
        <v>438</v>
      </c>
      <c r="B12" s="139">
        <v>2</v>
      </c>
      <c r="C12" s="139">
        <v>1</v>
      </c>
      <c r="D12" s="139">
        <v>4</v>
      </c>
      <c r="E12" s="139">
        <v>3</v>
      </c>
      <c r="F12" s="139" t="s">
        <v>423</v>
      </c>
      <c r="GY12" s="95" t="s">
        <v>439</v>
      </c>
      <c r="GZ12" s="141">
        <v>0.315</v>
      </c>
      <c r="HA12" s="141">
        <v>0.27600000000000002</v>
      </c>
      <c r="HB12" s="141">
        <v>0.374</v>
      </c>
      <c r="HC12" s="141">
        <v>0.32600000000000001</v>
      </c>
      <c r="HD12" s="141">
        <v>0.43</v>
      </c>
      <c r="HE12" s="141">
        <v>0.39500000000000002</v>
      </c>
      <c r="HF12" s="141">
        <v>0.48299999999999998</v>
      </c>
      <c r="HG12" s="141">
        <v>0.44500000000000001</v>
      </c>
      <c r="HH12" s="141">
        <v>0.34200000000000003</v>
      </c>
      <c r="HI12" s="141">
        <v>0.30499999999999999</v>
      </c>
      <c r="HJ12" s="141">
        <v>0.39</v>
      </c>
      <c r="HK12" s="141">
        <v>0.34699999999999998</v>
      </c>
      <c r="HL12" s="141">
        <v>0.442</v>
      </c>
      <c r="HM12" s="141">
        <v>0.41</v>
      </c>
      <c r="HN12" s="141">
        <v>0.49299999999999999</v>
      </c>
      <c r="HO12" s="141">
        <v>0.45900000000000002</v>
      </c>
      <c r="HP12" s="141">
        <v>0.34599999999999997</v>
      </c>
      <c r="HQ12" s="141">
        <v>0.32</v>
      </c>
      <c r="HR12" s="141">
        <v>0.39300000000000002</v>
      </c>
      <c r="HS12" s="141">
        <v>0.35399999999999998</v>
      </c>
      <c r="HT12" s="141">
        <v>0.44</v>
      </c>
      <c r="HU12" s="141">
        <v>0.41399999999999998</v>
      </c>
      <c r="HV12" s="141">
        <v>0.49199999999999999</v>
      </c>
      <c r="HW12" s="141">
        <v>0.45800000000000002</v>
      </c>
      <c r="BXV12" s="142">
        <v>1</v>
      </c>
      <c r="BXW12" s="141" t="s">
        <v>155</v>
      </c>
      <c r="BXX12" s="141" t="s">
        <v>154</v>
      </c>
      <c r="BYA12" s="136">
        <v>0</v>
      </c>
      <c r="BYX12" s="141">
        <v>1</v>
      </c>
      <c r="BYY12" s="141">
        <v>2</v>
      </c>
      <c r="CAM12" s="141">
        <v>1</v>
      </c>
      <c r="CAN12" s="141">
        <v>2</v>
      </c>
      <c r="CAO12" s="141">
        <v>0.11</v>
      </c>
      <c r="CAP12" s="141">
        <v>0.01</v>
      </c>
      <c r="CAQ12" s="141">
        <v>8.8999999999999996E-2</v>
      </c>
      <c r="XFA12" s="139"/>
      <c r="XFB12" s="139"/>
      <c r="XFC12" s="139">
        <v>8.4</v>
      </c>
      <c r="XFD12" s="139"/>
    </row>
    <row r="13" spans="1:2216 16381:16384">
      <c r="A13" s="139" t="s">
        <v>440</v>
      </c>
      <c r="B13" s="139">
        <v>4</v>
      </c>
      <c r="C13" s="139">
        <v>1</v>
      </c>
      <c r="D13" s="139">
        <v>8</v>
      </c>
      <c r="E13" s="139">
        <v>1</v>
      </c>
      <c r="F13" s="139" t="s">
        <v>423</v>
      </c>
      <c r="GY13" s="95" t="s">
        <v>441</v>
      </c>
      <c r="GZ13" s="141">
        <v>0.55800000000000005</v>
      </c>
      <c r="HA13" s="141">
        <v>0.54900000000000004</v>
      </c>
      <c r="HB13" s="141">
        <v>0.58099999999999996</v>
      </c>
      <c r="HC13" s="141">
        <v>0.57799999999999996</v>
      </c>
      <c r="HD13" s="141">
        <v>0.60799999999999998</v>
      </c>
      <c r="HE13" s="141">
        <v>0.60699999999999998</v>
      </c>
      <c r="HF13" s="141">
        <v>0.60099999999999998</v>
      </c>
      <c r="HG13" s="141">
        <v>0.60799999999999998</v>
      </c>
      <c r="HH13" s="141">
        <v>0.628</v>
      </c>
      <c r="HI13" s="141">
        <v>0.61699999999999999</v>
      </c>
      <c r="HJ13" s="141">
        <v>0.64400000000000002</v>
      </c>
      <c r="HK13" s="141">
        <v>0.64800000000000002</v>
      </c>
      <c r="HL13" s="141">
        <v>0.66700000000000004</v>
      </c>
      <c r="HM13" s="141">
        <v>0.65700000000000003</v>
      </c>
      <c r="HN13" s="141">
        <v>0.69799999999999995</v>
      </c>
      <c r="HO13" s="141">
        <v>0.70299999999999996</v>
      </c>
      <c r="HP13" s="141">
        <v>0.68700000000000006</v>
      </c>
      <c r="HQ13" s="141">
        <v>0.69</v>
      </c>
      <c r="HR13" s="141">
        <v>0.72899999999999998</v>
      </c>
      <c r="HS13" s="141">
        <v>0.73199999999999998</v>
      </c>
      <c r="HT13" s="141">
        <v>0.73599999999999999</v>
      </c>
      <c r="HU13" s="141">
        <v>0.72099999999999997</v>
      </c>
      <c r="HV13" s="141">
        <v>0.75800000000000001</v>
      </c>
      <c r="HW13" s="141">
        <v>0.77</v>
      </c>
      <c r="HX13" s="141">
        <v>0.78900000000000003</v>
      </c>
      <c r="HY13" s="141">
        <v>0.78200000000000003</v>
      </c>
      <c r="HZ13" s="141">
        <v>0.79900000000000004</v>
      </c>
      <c r="IA13" s="141">
        <v>0.80500000000000005</v>
      </c>
      <c r="IB13" s="141">
        <v>0.84599999999999997</v>
      </c>
      <c r="IC13" s="141">
        <v>0.84</v>
      </c>
      <c r="ID13" s="141">
        <v>0.84699999999999998</v>
      </c>
      <c r="IE13" s="141">
        <v>0.85199999999999998</v>
      </c>
      <c r="BXV13" s="142">
        <v>1</v>
      </c>
      <c r="BXW13" s="141" t="s">
        <v>155</v>
      </c>
      <c r="BXX13" s="141" t="s">
        <v>154</v>
      </c>
      <c r="BYA13" s="136">
        <v>0</v>
      </c>
      <c r="BYX13" s="141">
        <v>2</v>
      </c>
      <c r="BYY13" s="141">
        <v>2</v>
      </c>
      <c r="BYZ13" s="141">
        <v>2</v>
      </c>
      <c r="CAM13" s="141">
        <v>1</v>
      </c>
      <c r="CAN13" s="141">
        <v>2</v>
      </c>
      <c r="CAO13" s="141">
        <v>0.1</v>
      </c>
      <c r="CAP13" s="141">
        <v>0.01</v>
      </c>
      <c r="CAQ13" s="141">
        <v>8.8999999999999996E-2</v>
      </c>
      <c r="CAR13" s="141">
        <v>3</v>
      </c>
      <c r="CAS13" s="141">
        <v>4</v>
      </c>
      <c r="CAT13" s="141">
        <v>0.1</v>
      </c>
      <c r="CAU13" s="141">
        <v>0.01</v>
      </c>
      <c r="CAV13" s="141">
        <v>8.8999999999999996E-2</v>
      </c>
      <c r="XFB13" s="139"/>
      <c r="XFC13" s="139">
        <v>9</v>
      </c>
      <c r="XFD13" s="139"/>
    </row>
    <row r="14" spans="1:2216 16381:16384">
      <c r="A14" s="139" t="s">
        <v>442</v>
      </c>
      <c r="B14" s="139">
        <v>4</v>
      </c>
      <c r="C14" s="139">
        <v>1</v>
      </c>
      <c r="D14" s="139">
        <v>2</v>
      </c>
      <c r="E14" s="139">
        <v>9</v>
      </c>
      <c r="F14" s="139" t="s">
        <v>423</v>
      </c>
      <c r="GY14" s="95" t="s">
        <v>443</v>
      </c>
      <c r="GZ14" s="141">
        <v>0.30399999999999999</v>
      </c>
      <c r="HA14" s="141">
        <v>0.318</v>
      </c>
      <c r="HB14" s="141">
        <v>0.26900000000000002</v>
      </c>
      <c r="HC14" s="141">
        <v>0.27500000000000002</v>
      </c>
      <c r="HD14" s="141">
        <v>0.312</v>
      </c>
      <c r="HE14" s="141">
        <v>0.32300000000000001</v>
      </c>
      <c r="HF14" s="141">
        <v>0.27300000000000002</v>
      </c>
      <c r="HG14" s="141">
        <v>0.27700000000000002</v>
      </c>
      <c r="HH14" s="141">
        <v>0.312</v>
      </c>
      <c r="HI14" s="141">
        <v>0.32300000000000001</v>
      </c>
      <c r="HJ14" s="141">
        <v>0.27100000000000002</v>
      </c>
      <c r="HK14" s="141">
        <v>0.27700000000000002</v>
      </c>
      <c r="HL14" s="141">
        <v>0.313</v>
      </c>
      <c r="HM14" s="141">
        <v>0.32400000000000001</v>
      </c>
      <c r="HN14" s="141">
        <v>0.27300000000000002</v>
      </c>
      <c r="HO14" s="141">
        <v>0.27700000000000002</v>
      </c>
      <c r="HP14" s="141">
        <v>0.315</v>
      </c>
      <c r="HQ14" s="141">
        <v>0.32700000000000001</v>
      </c>
      <c r="HR14" s="141">
        <v>0.27200000000000002</v>
      </c>
      <c r="HS14" s="141">
        <v>0.27800000000000002</v>
      </c>
      <c r="HT14" s="141">
        <v>0.313</v>
      </c>
      <c r="HU14" s="141">
        <v>0.32500000000000001</v>
      </c>
      <c r="HV14" s="141">
        <v>0.26800000000000002</v>
      </c>
      <c r="HW14" s="141">
        <v>0.27400000000000002</v>
      </c>
      <c r="HX14" s="141">
        <v>0.309</v>
      </c>
      <c r="HY14" s="141">
        <v>0.32200000000000001</v>
      </c>
      <c r="HZ14" s="141">
        <v>0.26700000000000002</v>
      </c>
      <c r="IA14" s="141">
        <v>0.27200000000000002</v>
      </c>
      <c r="IB14" s="141">
        <v>0.30499999999999999</v>
      </c>
      <c r="IC14" s="141">
        <v>0.32500000000000001</v>
      </c>
      <c r="ID14" s="141">
        <v>0.26300000000000001</v>
      </c>
      <c r="IE14" s="141">
        <v>0.27200000000000002</v>
      </c>
      <c r="IF14" s="141">
        <v>0.30299999999999999</v>
      </c>
      <c r="IG14" s="141">
        <v>0.317</v>
      </c>
      <c r="IH14" s="141">
        <v>0.26</v>
      </c>
      <c r="II14" s="141">
        <v>0.26700000000000002</v>
      </c>
      <c r="IJ14" s="141">
        <v>0.39100000000000001</v>
      </c>
      <c r="IK14" s="141">
        <v>0.40600000000000003</v>
      </c>
      <c r="IL14" s="141">
        <v>0.33600000000000002</v>
      </c>
      <c r="IM14" s="141">
        <v>0.35399999999999998</v>
      </c>
      <c r="IN14" s="141">
        <v>0.39300000000000002</v>
      </c>
      <c r="IO14" s="141">
        <v>0.41099999999999998</v>
      </c>
      <c r="IP14" s="141">
        <v>0.34</v>
      </c>
      <c r="IQ14" s="141">
        <v>0.35499999999999998</v>
      </c>
      <c r="IR14" s="141">
        <v>0.39400000000000002</v>
      </c>
      <c r="IS14" s="141">
        <v>0.41299999999999998</v>
      </c>
      <c r="IT14" s="141">
        <v>0.34300000000000003</v>
      </c>
      <c r="IU14" s="141">
        <v>0.35599999999999998</v>
      </c>
      <c r="IV14" s="141">
        <v>0.39900000000000002</v>
      </c>
      <c r="IW14" s="141">
        <v>0.41099999999999998</v>
      </c>
      <c r="IX14" s="141">
        <v>0.34399999999999997</v>
      </c>
      <c r="IY14" s="141">
        <v>0.35799999999999998</v>
      </c>
      <c r="IZ14" s="141">
        <v>0.39700000000000002</v>
      </c>
      <c r="JA14" s="141">
        <v>0.40899999999999997</v>
      </c>
      <c r="JB14" s="141">
        <v>0.34200000000000003</v>
      </c>
      <c r="JC14" s="141">
        <v>0.35699999999999998</v>
      </c>
      <c r="JD14" s="141">
        <v>0.39400000000000002</v>
      </c>
      <c r="JE14" s="141">
        <v>0.40899999999999997</v>
      </c>
      <c r="JF14" s="141">
        <v>0.34</v>
      </c>
      <c r="JG14" s="141">
        <v>0.35399999999999998</v>
      </c>
      <c r="JH14" s="141">
        <v>0.39200000000000002</v>
      </c>
      <c r="JI14" s="141">
        <v>0.40600000000000003</v>
      </c>
      <c r="JJ14" s="141">
        <v>0.33900000000000002</v>
      </c>
      <c r="JK14" s="141">
        <v>0.35399999999999998</v>
      </c>
      <c r="JL14" s="141">
        <v>0.38600000000000001</v>
      </c>
      <c r="JM14" s="141">
        <v>0.40200000000000002</v>
      </c>
      <c r="JN14" s="141">
        <v>0.33500000000000002</v>
      </c>
      <c r="JO14" s="141">
        <v>0.35</v>
      </c>
      <c r="JP14" s="141">
        <v>0.38500000000000001</v>
      </c>
      <c r="JQ14" s="141">
        <v>0.4</v>
      </c>
      <c r="JR14" s="141">
        <v>0.33300000000000002</v>
      </c>
      <c r="JS14" s="141">
        <v>0.34699999999999998</v>
      </c>
      <c r="BXV14" s="142">
        <v>1</v>
      </c>
      <c r="BXW14" s="141" t="s">
        <v>155</v>
      </c>
      <c r="BXX14" s="141" t="s">
        <v>154</v>
      </c>
      <c r="BYA14" s="136">
        <v>0</v>
      </c>
      <c r="BYX14" s="141">
        <v>2</v>
      </c>
      <c r="BYY14" s="141">
        <v>2</v>
      </c>
      <c r="BYZ14" s="141">
        <v>2</v>
      </c>
      <c r="CAM14" s="141">
        <v>1</v>
      </c>
      <c r="CAN14" s="141">
        <v>2</v>
      </c>
      <c r="CAO14" s="141">
        <v>0.105</v>
      </c>
      <c r="CAP14" s="141">
        <v>0.01</v>
      </c>
      <c r="CAQ14" s="141">
        <v>0.09</v>
      </c>
      <c r="CAR14" s="141">
        <v>3</v>
      </c>
      <c r="CAS14" s="141">
        <v>4</v>
      </c>
      <c r="CAT14" s="141">
        <v>0.105</v>
      </c>
      <c r="CAU14" s="141">
        <v>0.01</v>
      </c>
      <c r="CAV14" s="141">
        <v>0.09</v>
      </c>
      <c r="XFC14" s="139">
        <v>10</v>
      </c>
      <c r="XFD14" s="139"/>
    </row>
    <row r="15" spans="1:2216 16381:16384">
      <c r="A15" s="139" t="s">
        <v>444</v>
      </c>
      <c r="B15" s="139">
        <v>4</v>
      </c>
      <c r="C15" s="139">
        <v>1</v>
      </c>
      <c r="D15" s="139">
        <v>2</v>
      </c>
      <c r="E15" s="139">
        <v>10</v>
      </c>
      <c r="F15" s="139" t="s">
        <v>445</v>
      </c>
      <c r="GY15" s="95" t="s">
        <v>446</v>
      </c>
      <c r="GZ15" s="141">
        <v>0.42599999999999999</v>
      </c>
      <c r="HA15" s="141">
        <v>0.41699999999999998</v>
      </c>
      <c r="HB15" s="141">
        <v>0.39500000000000002</v>
      </c>
      <c r="HC15" s="141">
        <v>0.38100000000000001</v>
      </c>
      <c r="HD15" s="141">
        <v>0.42499999999999999</v>
      </c>
      <c r="HE15" s="141">
        <v>0.41699999999999998</v>
      </c>
      <c r="HF15" s="141">
        <v>0.39300000000000002</v>
      </c>
      <c r="HG15" s="141">
        <v>0.379</v>
      </c>
      <c r="HH15" s="141">
        <v>0.42699999999999999</v>
      </c>
      <c r="HI15" s="141">
        <v>0.41699999999999998</v>
      </c>
      <c r="HJ15" s="141">
        <v>0.39400000000000002</v>
      </c>
      <c r="HK15" s="141">
        <v>0.379</v>
      </c>
      <c r="HL15" s="141">
        <v>0.42299999999999999</v>
      </c>
      <c r="HM15" s="141">
        <v>0.41399999999999998</v>
      </c>
      <c r="HN15" s="141">
        <v>0.39</v>
      </c>
      <c r="HO15" s="141">
        <v>0.375</v>
      </c>
      <c r="HP15" s="141">
        <v>0.42399999999999999</v>
      </c>
      <c r="HQ15" s="141">
        <v>0.41399999999999998</v>
      </c>
      <c r="HR15" s="141">
        <v>0.39</v>
      </c>
      <c r="HS15" s="141">
        <v>0.375</v>
      </c>
      <c r="HT15" s="141">
        <v>0.42199999999999999</v>
      </c>
      <c r="HU15" s="141">
        <v>0.41199999999999998</v>
      </c>
      <c r="HV15" s="141">
        <v>0.38800000000000001</v>
      </c>
      <c r="HW15" s="141">
        <v>0.372</v>
      </c>
      <c r="HX15" s="141">
        <v>0.42099999999999999</v>
      </c>
      <c r="HY15" s="141">
        <v>0.41</v>
      </c>
      <c r="HZ15" s="141">
        <v>0.38500000000000001</v>
      </c>
      <c r="IA15" s="141">
        <v>0.37</v>
      </c>
      <c r="IB15" s="141">
        <v>0.41899999999999998</v>
      </c>
      <c r="IC15" s="141">
        <v>0.40799999999999997</v>
      </c>
      <c r="ID15" s="141">
        <v>0.38300000000000001</v>
      </c>
      <c r="IE15" s="141">
        <v>0.36699999999999999</v>
      </c>
      <c r="IF15" s="141">
        <v>0.41699999999999998</v>
      </c>
      <c r="IG15" s="141">
        <v>0.40500000000000003</v>
      </c>
      <c r="IH15" s="141">
        <v>0.38</v>
      </c>
      <c r="II15" s="141">
        <v>0.36299999999999999</v>
      </c>
      <c r="IJ15" s="141">
        <v>0.41399999999999998</v>
      </c>
      <c r="IK15" s="141">
        <v>0.40300000000000002</v>
      </c>
      <c r="IL15" s="141">
        <v>0.377</v>
      </c>
      <c r="IM15" s="141">
        <v>0.36199999999999999</v>
      </c>
      <c r="IN15" s="141">
        <v>0.33700000000000002</v>
      </c>
      <c r="IO15" s="141">
        <v>0.32400000000000001</v>
      </c>
      <c r="IP15" s="141">
        <v>0.30099999999999999</v>
      </c>
      <c r="IQ15" s="141">
        <v>0.29799999999999999</v>
      </c>
      <c r="IR15" s="141">
        <v>0.33400000000000002</v>
      </c>
      <c r="IS15" s="141">
        <v>0.32200000000000001</v>
      </c>
      <c r="IT15" s="141">
        <v>0.30099999999999999</v>
      </c>
      <c r="IU15" s="141">
        <v>0.29399999999999998</v>
      </c>
      <c r="IV15" s="141">
        <v>0.33200000000000002</v>
      </c>
      <c r="IW15" s="141">
        <v>0.32</v>
      </c>
      <c r="IX15" s="141">
        <v>0.29899999999999999</v>
      </c>
      <c r="IY15" s="141">
        <v>0.29199999999999998</v>
      </c>
      <c r="IZ15" s="141">
        <v>0.32900000000000001</v>
      </c>
      <c r="JA15" s="141">
        <v>0.317</v>
      </c>
      <c r="JB15" s="141">
        <v>0.29599999999999999</v>
      </c>
      <c r="JC15" s="141">
        <v>0.28799999999999998</v>
      </c>
      <c r="JD15" s="141">
        <v>0.32800000000000001</v>
      </c>
      <c r="JE15" s="141">
        <v>0.315</v>
      </c>
      <c r="JF15" s="141">
        <v>0.29599999999999999</v>
      </c>
      <c r="JG15" s="141">
        <v>0.28699999999999998</v>
      </c>
      <c r="JH15" s="141">
        <v>0.32300000000000001</v>
      </c>
      <c r="JI15" s="141">
        <v>0.314</v>
      </c>
      <c r="JJ15" s="141">
        <v>0.29199999999999998</v>
      </c>
      <c r="JK15" s="141">
        <v>0.28399999999999997</v>
      </c>
      <c r="JL15" s="141">
        <v>0.32600000000000001</v>
      </c>
      <c r="JM15" s="141">
        <v>0.311</v>
      </c>
      <c r="JN15" s="141">
        <v>0.29399999999999998</v>
      </c>
      <c r="JO15" s="141">
        <v>0.28199999999999997</v>
      </c>
      <c r="JP15" s="141">
        <v>0.316</v>
      </c>
      <c r="JQ15" s="141">
        <v>0.30299999999999999</v>
      </c>
      <c r="JR15" s="141">
        <v>0.29599999999999999</v>
      </c>
      <c r="JS15" s="141">
        <v>0.27600000000000002</v>
      </c>
      <c r="JT15" s="141">
        <v>0.317</v>
      </c>
      <c r="JU15" s="141">
        <v>0.30399999999999999</v>
      </c>
      <c r="JV15" s="141">
        <v>0.28499999999999998</v>
      </c>
      <c r="JW15" s="141">
        <v>0.27400000000000002</v>
      </c>
      <c r="JX15" s="141">
        <v>0.312</v>
      </c>
      <c r="JY15" s="141">
        <v>0.29799999999999999</v>
      </c>
      <c r="JZ15" s="141">
        <v>0.28000000000000003</v>
      </c>
      <c r="KA15" s="141">
        <v>0.26900000000000002</v>
      </c>
      <c r="BXV15" s="142">
        <v>1</v>
      </c>
      <c r="BXW15" s="141" t="s">
        <v>155</v>
      </c>
      <c r="BXX15" s="141" t="s">
        <v>154</v>
      </c>
      <c r="BYA15" s="136">
        <v>0</v>
      </c>
      <c r="BYX15" s="141">
        <v>3</v>
      </c>
      <c r="BYY15" s="141">
        <v>1</v>
      </c>
      <c r="BYZ15" s="141">
        <v>1</v>
      </c>
      <c r="BZA15" s="141">
        <v>2</v>
      </c>
      <c r="CAM15" s="141">
        <v>1</v>
      </c>
      <c r="CAN15" s="141">
        <v>1</v>
      </c>
      <c r="CAO15" s="141">
        <v>0</v>
      </c>
      <c r="CAP15" s="141">
        <v>0.01</v>
      </c>
      <c r="CAQ15" s="141">
        <v>0.17899999999999999</v>
      </c>
      <c r="CAR15" s="141">
        <v>2</v>
      </c>
      <c r="CAS15" s="141">
        <v>2</v>
      </c>
      <c r="CAT15" s="141">
        <v>0</v>
      </c>
      <c r="CAU15" s="141">
        <v>0.13</v>
      </c>
      <c r="CAV15" s="141">
        <v>0.26900000000000002</v>
      </c>
      <c r="CAW15" s="141">
        <v>3</v>
      </c>
      <c r="CAX15" s="141">
        <v>4</v>
      </c>
      <c r="CAY15" s="141">
        <v>0</v>
      </c>
      <c r="CAZ15" s="141">
        <v>0.01</v>
      </c>
      <c r="CBA15" s="141">
        <v>0.17899999999999999</v>
      </c>
    </row>
    <row r="16" spans="1:2216 16381:16384">
      <c r="A16" s="139" t="s">
        <v>390</v>
      </c>
      <c r="B16" s="139">
        <v>20</v>
      </c>
      <c r="C16" s="139">
        <v>1</v>
      </c>
      <c r="D16" s="139">
        <v>3</v>
      </c>
      <c r="E16" s="139">
        <v>10</v>
      </c>
      <c r="F16" s="139" t="s">
        <v>445</v>
      </c>
      <c r="GY16" s="95"/>
      <c r="BXV16" s="142">
        <v>1</v>
      </c>
      <c r="BYA16" s="136">
        <v>0</v>
      </c>
      <c r="BYX16" s="141">
        <v>2</v>
      </c>
      <c r="BYY16" s="141">
        <v>10</v>
      </c>
      <c r="BYZ16" s="141">
        <v>10</v>
      </c>
      <c r="CAM16" s="141">
        <v>1</v>
      </c>
      <c r="CAN16" s="141">
        <v>10</v>
      </c>
      <c r="CAO16" s="141">
        <v>0.09</v>
      </c>
      <c r="CAP16" s="141">
        <v>0</v>
      </c>
      <c r="CAQ16" s="141">
        <v>0.09</v>
      </c>
      <c r="CAR16" s="141">
        <v>11</v>
      </c>
      <c r="CAS16" s="141">
        <v>20</v>
      </c>
      <c r="CAT16" s="141">
        <v>0.105</v>
      </c>
      <c r="CAU16" s="141">
        <v>0</v>
      </c>
      <c r="CAV16" s="141">
        <v>0.09</v>
      </c>
    </row>
    <row r="17" spans="1:543 1998:2030 2067:2086">
      <c r="A17" s="139" t="s">
        <v>447</v>
      </c>
      <c r="B17" s="139">
        <v>4</v>
      </c>
      <c r="C17" s="139">
        <v>1</v>
      </c>
      <c r="D17" s="139">
        <v>6</v>
      </c>
      <c r="E17" s="139">
        <v>4</v>
      </c>
      <c r="F17" s="139" t="s">
        <v>445</v>
      </c>
      <c r="GY17" s="95" t="s">
        <v>404</v>
      </c>
      <c r="GZ17" s="141">
        <v>0.22700000000000001</v>
      </c>
      <c r="HA17" s="141">
        <v>0.22700000000000001</v>
      </c>
      <c r="HB17" s="141">
        <v>0.23100000000000001</v>
      </c>
      <c r="HC17" s="141">
        <v>0.23100000000000001</v>
      </c>
      <c r="HD17" s="141">
        <v>0.23499999999999999</v>
      </c>
      <c r="HE17" s="141">
        <v>0.23400000000000001</v>
      </c>
      <c r="HF17" s="141">
        <v>0.23400000000000001</v>
      </c>
      <c r="HG17" s="141">
        <v>0.23300000000000001</v>
      </c>
      <c r="HH17" s="141">
        <v>0.23200000000000001</v>
      </c>
      <c r="HI17" s="141">
        <v>0.22700000000000001</v>
      </c>
      <c r="HJ17" s="141">
        <v>0.23200000000000001</v>
      </c>
      <c r="HK17" s="141">
        <v>0.23100000000000001</v>
      </c>
      <c r="HL17" s="141">
        <v>0.23</v>
      </c>
      <c r="HM17" s="141">
        <v>0.23200000000000001</v>
      </c>
      <c r="HN17" s="141">
        <v>0.23200000000000001</v>
      </c>
      <c r="HO17" s="141">
        <v>0.23</v>
      </c>
      <c r="HP17" s="141">
        <v>0.23699999999999999</v>
      </c>
      <c r="HQ17" s="141">
        <v>0.23499999999999999</v>
      </c>
      <c r="HR17" s="141">
        <v>0.23799999999999999</v>
      </c>
      <c r="HS17" s="141">
        <v>0.23599999999999999</v>
      </c>
      <c r="HT17" s="141">
        <v>0.24199999999999999</v>
      </c>
      <c r="HU17" s="141">
        <v>0.24199999999999999</v>
      </c>
      <c r="HV17" s="141">
        <v>0.24099999999999999</v>
      </c>
      <c r="HW17" s="141">
        <v>0.24</v>
      </c>
      <c r="HX17" s="141">
        <v>0.24099999999999999</v>
      </c>
      <c r="HY17" s="141">
        <v>0.23799999999999999</v>
      </c>
      <c r="HZ17" s="141">
        <v>0.24099999999999999</v>
      </c>
      <c r="IA17" s="141">
        <v>0.23899999999999999</v>
      </c>
      <c r="IB17" s="141">
        <v>0.23899999999999999</v>
      </c>
      <c r="IC17" s="141">
        <v>0.24</v>
      </c>
      <c r="ID17" s="141">
        <v>0.23899999999999999</v>
      </c>
      <c r="IE17" s="141">
        <v>0.23799999999999999</v>
      </c>
      <c r="IF17" s="141">
        <v>0.24299999999999999</v>
      </c>
      <c r="IG17" s="141">
        <v>0.24399999999999999</v>
      </c>
      <c r="IH17" s="141">
        <v>0.245</v>
      </c>
      <c r="II17" s="141">
        <v>0.245</v>
      </c>
      <c r="IJ17" s="141">
        <v>0.248</v>
      </c>
      <c r="IK17" s="141">
        <v>0.25</v>
      </c>
      <c r="IL17" s="141">
        <v>0.248</v>
      </c>
      <c r="IM17" s="141">
        <v>0.246</v>
      </c>
      <c r="IN17" s="141">
        <v>0.246</v>
      </c>
      <c r="IO17" s="141">
        <v>0.245</v>
      </c>
      <c r="IP17" s="141">
        <v>0.245</v>
      </c>
      <c r="IQ17" s="141">
        <v>0.24399999999999999</v>
      </c>
      <c r="IR17" s="141">
        <v>0.245</v>
      </c>
      <c r="IS17" s="141">
        <v>0.246</v>
      </c>
      <c r="IT17" s="141">
        <v>0.245</v>
      </c>
      <c r="IU17" s="141">
        <v>0.24099999999999999</v>
      </c>
      <c r="IV17" s="141">
        <v>0.251</v>
      </c>
      <c r="IW17" s="141">
        <v>0.253</v>
      </c>
      <c r="IX17" s="141">
        <v>0.254</v>
      </c>
      <c r="IY17" s="141">
        <v>0.253</v>
      </c>
      <c r="IZ17" s="141">
        <v>0.25600000000000001</v>
      </c>
      <c r="JA17" s="141">
        <v>0.255</v>
      </c>
      <c r="JB17" s="141">
        <v>0.254</v>
      </c>
      <c r="JC17" s="141">
        <v>0.254</v>
      </c>
      <c r="JD17" s="141">
        <v>0.252</v>
      </c>
      <c r="JE17" s="141">
        <v>0.25</v>
      </c>
      <c r="JF17" s="141">
        <v>0.253</v>
      </c>
      <c r="JG17" s="141">
        <v>0.251</v>
      </c>
      <c r="JH17" s="141">
        <v>0.252</v>
      </c>
      <c r="JI17" s="141">
        <v>0.25</v>
      </c>
      <c r="JJ17" s="141">
        <v>0.25</v>
      </c>
      <c r="JK17" s="141">
        <v>0.249</v>
      </c>
      <c r="JL17" s="141">
        <v>0.255</v>
      </c>
      <c r="JM17" s="141">
        <v>0.255</v>
      </c>
      <c r="JN17" s="141">
        <v>0.255</v>
      </c>
      <c r="JO17" s="141">
        <v>0.25700000000000001</v>
      </c>
      <c r="JP17" s="141">
        <v>0.25600000000000001</v>
      </c>
      <c r="JQ17" s="141">
        <v>0.25600000000000001</v>
      </c>
      <c r="JR17" s="141">
        <v>0.25800000000000001</v>
      </c>
      <c r="JS17" s="141">
        <v>0.255</v>
      </c>
      <c r="JT17" s="141">
        <v>0.251</v>
      </c>
      <c r="JU17" s="141">
        <v>0.253</v>
      </c>
      <c r="JV17" s="141">
        <v>0.251</v>
      </c>
      <c r="JW17" s="141">
        <v>0.25</v>
      </c>
      <c r="JX17" s="141">
        <v>0.251</v>
      </c>
      <c r="JY17" s="141">
        <v>0.248</v>
      </c>
      <c r="JZ17" s="141">
        <v>0.25</v>
      </c>
      <c r="KA17" s="141">
        <v>0.249</v>
      </c>
      <c r="KB17" s="141">
        <v>0.25700000000000001</v>
      </c>
      <c r="KC17" s="141">
        <v>0.25600000000000001</v>
      </c>
      <c r="KD17" s="141">
        <v>0.26100000000000001</v>
      </c>
      <c r="KE17" s="141">
        <v>0.25900000000000001</v>
      </c>
      <c r="KF17" s="141">
        <v>0.25800000000000001</v>
      </c>
      <c r="KG17" s="141">
        <v>0.25600000000000001</v>
      </c>
      <c r="KH17" s="141">
        <v>0.25800000000000001</v>
      </c>
      <c r="KI17" s="141">
        <v>0.25900000000000001</v>
      </c>
      <c r="KJ17" s="141">
        <v>0.254</v>
      </c>
      <c r="KK17" s="141">
        <v>0.253</v>
      </c>
      <c r="KL17" s="141">
        <v>0.254</v>
      </c>
      <c r="KM17" s="141">
        <v>0.253</v>
      </c>
      <c r="KN17" s="141">
        <v>0.252</v>
      </c>
      <c r="KO17" s="141">
        <v>0.247</v>
      </c>
      <c r="KP17" s="141">
        <v>0.248</v>
      </c>
      <c r="KQ17" s="141">
        <v>0.249</v>
      </c>
      <c r="BXV17" s="142">
        <v>1</v>
      </c>
      <c r="BXW17" s="141" t="s">
        <v>155</v>
      </c>
      <c r="BXX17" s="141" t="s">
        <v>154</v>
      </c>
      <c r="BYA17" s="136">
        <v>0</v>
      </c>
      <c r="BYX17" s="141">
        <v>1</v>
      </c>
      <c r="BYY17" s="141">
        <v>4</v>
      </c>
      <c r="CAM17" s="141">
        <v>1</v>
      </c>
      <c r="CAN17" s="141">
        <v>4</v>
      </c>
      <c r="CAO17" s="141">
        <v>0</v>
      </c>
      <c r="CAP17" s="141">
        <v>0</v>
      </c>
      <c r="CAQ17" s="141">
        <v>0.23</v>
      </c>
    </row>
    <row r="18" spans="1:543 1998:2030 2067:2086">
      <c r="A18" s="139" t="s">
        <v>448</v>
      </c>
      <c r="B18" s="139">
        <v>8</v>
      </c>
      <c r="C18" s="139">
        <v>1</v>
      </c>
      <c r="D18" s="139">
        <v>2</v>
      </c>
      <c r="E18" s="139">
        <v>5</v>
      </c>
      <c r="F18" s="139" t="s">
        <v>445</v>
      </c>
      <c r="GY18" s="95" t="s">
        <v>405</v>
      </c>
      <c r="GZ18" s="141">
        <v>0.16</v>
      </c>
      <c r="HA18" s="141">
        <v>0.16200000000000001</v>
      </c>
      <c r="HB18" s="141">
        <v>0.161</v>
      </c>
      <c r="HC18" s="141">
        <v>0.161</v>
      </c>
      <c r="HD18" s="141">
        <v>0.16200000000000001</v>
      </c>
      <c r="HE18" s="141">
        <v>0.159</v>
      </c>
      <c r="HF18" s="141">
        <v>0.161</v>
      </c>
      <c r="HG18" s="141">
        <v>0.16300000000000001</v>
      </c>
      <c r="HH18" s="141">
        <v>0.158</v>
      </c>
      <c r="HI18" s="141">
        <v>0.158</v>
      </c>
      <c r="HJ18" s="141">
        <v>0.155</v>
      </c>
      <c r="HK18" s="141">
        <v>0.157</v>
      </c>
      <c r="HL18" s="141">
        <v>0.16400000000000001</v>
      </c>
      <c r="HM18" s="141">
        <v>0.16400000000000001</v>
      </c>
      <c r="HN18" s="141">
        <v>0.16500000000000001</v>
      </c>
      <c r="HO18" s="141">
        <v>0.16400000000000001</v>
      </c>
      <c r="HP18" s="141">
        <v>0.16900000000000001</v>
      </c>
      <c r="HQ18" s="141">
        <v>0.17</v>
      </c>
      <c r="HR18" s="141">
        <v>0.17</v>
      </c>
      <c r="HS18" s="141">
        <v>0.17100000000000001</v>
      </c>
      <c r="HT18" s="141">
        <v>0.16900000000000001</v>
      </c>
      <c r="HU18" s="141">
        <v>0.17199999999999999</v>
      </c>
      <c r="HV18" s="141">
        <v>0.17100000000000001</v>
      </c>
      <c r="HW18" s="141">
        <v>0.16800000000000001</v>
      </c>
      <c r="HX18" s="141">
        <v>0.16300000000000001</v>
      </c>
      <c r="HY18" s="141">
        <v>0.16400000000000001</v>
      </c>
      <c r="HZ18" s="141">
        <v>0.16400000000000001</v>
      </c>
      <c r="IA18" s="141">
        <v>0.16500000000000001</v>
      </c>
      <c r="IB18" s="141">
        <v>0.16900000000000001</v>
      </c>
      <c r="IC18" s="141">
        <v>0.17199999999999999</v>
      </c>
      <c r="ID18" s="141">
        <v>0.17199999999999999</v>
      </c>
      <c r="IE18" s="141">
        <v>0.17199999999999999</v>
      </c>
      <c r="IF18" s="141">
        <v>0.17699999999999999</v>
      </c>
      <c r="IG18" s="141">
        <v>0.17499999999999999</v>
      </c>
      <c r="IH18" s="141">
        <v>0.17799999999999999</v>
      </c>
      <c r="II18" s="141">
        <v>0.17499999999999999</v>
      </c>
      <c r="IJ18" s="141">
        <v>0.17100000000000001</v>
      </c>
      <c r="IK18" s="141">
        <v>0.17399999999999999</v>
      </c>
      <c r="IL18" s="141">
        <v>0.17399999999999999</v>
      </c>
      <c r="IM18" s="141">
        <v>0.17399999999999999</v>
      </c>
      <c r="IN18" s="141">
        <v>0.17100000000000001</v>
      </c>
      <c r="IO18" s="141">
        <v>0.17100000000000001</v>
      </c>
      <c r="IP18" s="141">
        <v>0.17399999999999999</v>
      </c>
      <c r="IQ18" s="141">
        <v>0.17</v>
      </c>
      <c r="IR18" s="141">
        <v>0.17499999999999999</v>
      </c>
      <c r="IS18" s="141">
        <v>0.17699999999999999</v>
      </c>
      <c r="IT18" s="141">
        <v>0.17799999999999999</v>
      </c>
      <c r="IU18" s="141">
        <v>0.17699999999999999</v>
      </c>
      <c r="IV18" s="141">
        <v>0.18</v>
      </c>
      <c r="IW18" s="141">
        <v>0.17799999999999999</v>
      </c>
      <c r="IX18" s="141">
        <v>0.18</v>
      </c>
      <c r="IY18" s="141">
        <v>0.183</v>
      </c>
      <c r="IZ18" s="141">
        <v>0.17799999999999999</v>
      </c>
      <c r="JA18" s="141">
        <v>0.17699999999999999</v>
      </c>
      <c r="JB18" s="141">
        <v>0.17899999999999999</v>
      </c>
      <c r="JC18" s="141">
        <v>0.18</v>
      </c>
      <c r="JD18" s="141">
        <v>0.182</v>
      </c>
      <c r="JE18" s="141">
        <v>0.18</v>
      </c>
      <c r="JF18" s="141">
        <v>0.18099999999999999</v>
      </c>
      <c r="JG18" s="141">
        <v>0.186</v>
      </c>
      <c r="JH18" s="141">
        <v>0.182</v>
      </c>
      <c r="JI18" s="141">
        <v>0.183</v>
      </c>
      <c r="JJ18" s="141">
        <v>0.186</v>
      </c>
      <c r="JK18" s="141">
        <v>0.187</v>
      </c>
      <c r="JL18" s="141">
        <v>0.183</v>
      </c>
      <c r="JM18" s="141">
        <v>0.182</v>
      </c>
      <c r="JN18" s="141">
        <v>0.183</v>
      </c>
      <c r="JO18" s="141">
        <v>0.18099999999999999</v>
      </c>
      <c r="JP18" s="141">
        <v>0.17599999999999999</v>
      </c>
      <c r="JQ18" s="141">
        <v>0.17799999999999999</v>
      </c>
      <c r="JR18" s="141">
        <v>0.17699999999999999</v>
      </c>
      <c r="JS18" s="141">
        <v>0.182</v>
      </c>
      <c r="JT18" s="141">
        <v>0.185</v>
      </c>
      <c r="JU18" s="141">
        <v>0.185</v>
      </c>
      <c r="JV18" s="141">
        <v>0.184</v>
      </c>
      <c r="JW18" s="141">
        <v>0.184</v>
      </c>
      <c r="JX18" s="141">
        <v>0.184</v>
      </c>
      <c r="JY18" s="141">
        <v>0.184</v>
      </c>
      <c r="JZ18" s="141">
        <v>0.185</v>
      </c>
      <c r="KA18" s="141">
        <v>0.186</v>
      </c>
      <c r="BXV18" s="142">
        <v>1</v>
      </c>
      <c r="BXW18" s="141" t="s">
        <v>155</v>
      </c>
      <c r="BXX18" s="141" t="s">
        <v>154</v>
      </c>
      <c r="BYA18" s="136">
        <v>0</v>
      </c>
      <c r="BYX18" s="141">
        <v>2</v>
      </c>
      <c r="BYY18" s="141">
        <v>4</v>
      </c>
      <c r="BYZ18" s="141">
        <v>4</v>
      </c>
      <c r="CAM18" s="141">
        <v>1</v>
      </c>
      <c r="CAN18" s="141">
        <v>4</v>
      </c>
      <c r="CAO18" s="141">
        <v>0</v>
      </c>
      <c r="CAP18" s="141">
        <v>0</v>
      </c>
      <c r="CAQ18" s="141">
        <v>0.28000000000000003</v>
      </c>
      <c r="CAR18" s="141">
        <v>5</v>
      </c>
      <c r="CAS18" s="141">
        <v>8</v>
      </c>
      <c r="CAT18" s="141">
        <v>0</v>
      </c>
      <c r="CAU18" s="141">
        <v>0</v>
      </c>
      <c r="CAV18" s="141">
        <v>0.28000000000000003</v>
      </c>
    </row>
    <row r="19" spans="1:543 1998:2030 2067:2086">
      <c r="A19" s="139" t="s">
        <v>393</v>
      </c>
      <c r="B19" s="139">
        <v>17</v>
      </c>
      <c r="C19" s="139">
        <v>1</v>
      </c>
      <c r="D19" s="139">
        <v>2</v>
      </c>
      <c r="E19" s="139">
        <v>9</v>
      </c>
      <c r="F19" s="139" t="s">
        <v>423</v>
      </c>
      <c r="GY19" s="95" t="s">
        <v>404</v>
      </c>
      <c r="GZ19" s="141">
        <v>0.29399999999999998</v>
      </c>
      <c r="HA19" s="141">
        <v>0.29299999999999998</v>
      </c>
      <c r="HB19" s="141">
        <v>0.29299999999999998</v>
      </c>
      <c r="HC19" s="141">
        <v>0.29299999999999998</v>
      </c>
      <c r="HD19" s="141">
        <v>0.28299999999999997</v>
      </c>
      <c r="HE19" s="141">
        <v>0.28299999999999997</v>
      </c>
      <c r="HF19" s="141">
        <v>0.28199999999999997</v>
      </c>
      <c r="HG19" s="141">
        <v>0.28299999999999997</v>
      </c>
      <c r="HH19" s="141">
        <v>0.313</v>
      </c>
      <c r="HI19" s="141">
        <v>0.313</v>
      </c>
      <c r="HJ19" s="141">
        <v>0.311</v>
      </c>
      <c r="HK19" s="141">
        <v>0.312</v>
      </c>
      <c r="HL19" s="141">
        <v>0.308</v>
      </c>
      <c r="HM19" s="141">
        <v>0.309</v>
      </c>
      <c r="HN19" s="141">
        <v>0.309</v>
      </c>
      <c r="HO19" s="141">
        <v>0.309</v>
      </c>
      <c r="HP19" s="141">
        <v>0.309</v>
      </c>
      <c r="HQ19" s="141">
        <v>0.311</v>
      </c>
      <c r="HR19" s="141">
        <v>0.311</v>
      </c>
      <c r="HS19" s="141">
        <v>0.31</v>
      </c>
      <c r="HT19" s="141">
        <v>0.311</v>
      </c>
      <c r="HU19" s="141">
        <v>0.30199999999999999</v>
      </c>
      <c r="HV19" s="141">
        <v>0.30299999999999999</v>
      </c>
      <c r="HW19" s="141">
        <v>0.30199999999999999</v>
      </c>
      <c r="HX19" s="141">
        <v>0.30199999999999999</v>
      </c>
      <c r="HY19" s="141">
        <v>0.33100000000000002</v>
      </c>
      <c r="HZ19" s="141">
        <v>0.32900000000000001</v>
      </c>
      <c r="IA19" s="141">
        <v>0.33100000000000002</v>
      </c>
      <c r="IB19" s="141">
        <v>0.32900000000000001</v>
      </c>
      <c r="IC19" s="141">
        <v>0.32400000000000001</v>
      </c>
      <c r="ID19" s="141">
        <v>0.32400000000000001</v>
      </c>
      <c r="IE19" s="141">
        <v>0.32300000000000001</v>
      </c>
      <c r="IF19" s="141">
        <v>0.32400000000000001</v>
      </c>
      <c r="IG19" s="141">
        <v>0.32300000000000001</v>
      </c>
      <c r="IH19" s="141">
        <v>0.32500000000000001</v>
      </c>
      <c r="II19" s="141">
        <v>0.32500000000000001</v>
      </c>
      <c r="IJ19" s="141">
        <v>0.32400000000000001</v>
      </c>
      <c r="IK19" s="141">
        <v>0.32400000000000001</v>
      </c>
      <c r="IL19" s="141">
        <v>0.317</v>
      </c>
      <c r="IM19" s="141">
        <v>0.315</v>
      </c>
      <c r="IN19" s="141">
        <v>0.316</v>
      </c>
      <c r="IO19" s="141">
        <v>0.315</v>
      </c>
      <c r="IP19" s="141">
        <v>0.34399999999999997</v>
      </c>
      <c r="IQ19" s="141">
        <v>0.34499999999999997</v>
      </c>
      <c r="IR19" s="141">
        <v>0.34399999999999997</v>
      </c>
      <c r="IS19" s="141">
        <v>0.34300000000000003</v>
      </c>
      <c r="IT19" s="141">
        <v>0.33800000000000002</v>
      </c>
      <c r="IU19" s="141">
        <v>0.33800000000000002</v>
      </c>
      <c r="IV19" s="141">
        <v>0.33800000000000002</v>
      </c>
      <c r="IW19" s="141">
        <v>0.33800000000000002</v>
      </c>
      <c r="IX19" s="141">
        <v>0.33700000000000002</v>
      </c>
      <c r="IY19" s="141">
        <v>0.33700000000000002</v>
      </c>
      <c r="IZ19" s="141">
        <v>0.33700000000000002</v>
      </c>
      <c r="JA19" s="141">
        <v>0.33700000000000002</v>
      </c>
      <c r="JB19" s="141">
        <v>0.33600000000000002</v>
      </c>
      <c r="JC19" s="141">
        <v>0.32800000000000001</v>
      </c>
      <c r="JD19" s="141">
        <v>0.32800000000000001</v>
      </c>
      <c r="JE19" s="141">
        <v>0.32800000000000001</v>
      </c>
      <c r="JF19" s="141">
        <v>0.32700000000000001</v>
      </c>
      <c r="JG19" s="141">
        <v>0.35899999999999999</v>
      </c>
      <c r="JH19" s="141">
        <v>0.35699999999999998</v>
      </c>
      <c r="JI19" s="141">
        <v>0.35599999999999998</v>
      </c>
      <c r="JJ19" s="141">
        <v>0.35399999999999998</v>
      </c>
      <c r="JK19" s="141">
        <v>0.35</v>
      </c>
      <c r="JL19" s="141">
        <v>0.35</v>
      </c>
      <c r="JM19" s="141">
        <v>0.35</v>
      </c>
      <c r="JN19" s="141">
        <v>0.34899999999999998</v>
      </c>
      <c r="JO19" s="141">
        <v>0.34699999999999998</v>
      </c>
      <c r="JP19" s="141">
        <v>0.34899999999999998</v>
      </c>
      <c r="JQ19" s="141">
        <v>0.34799999999999998</v>
      </c>
      <c r="JR19" s="141">
        <v>0.34799999999999998</v>
      </c>
      <c r="JS19" s="141">
        <v>0.34699999999999998</v>
      </c>
      <c r="JT19" s="141">
        <v>0.34</v>
      </c>
      <c r="JU19" s="141">
        <v>0.33900000000000002</v>
      </c>
      <c r="JV19" s="141">
        <v>0.33900000000000002</v>
      </c>
      <c r="JW19" s="141">
        <v>0.33900000000000002</v>
      </c>
      <c r="JX19" s="141">
        <v>0.37</v>
      </c>
      <c r="JY19" s="141">
        <v>0.36799999999999999</v>
      </c>
      <c r="JZ19" s="141">
        <v>0.36899999999999999</v>
      </c>
      <c r="KA19" s="141">
        <v>0.36699999999999999</v>
      </c>
      <c r="KB19" s="141">
        <v>0.36299999999999999</v>
      </c>
      <c r="KC19" s="141">
        <v>0.36299999999999999</v>
      </c>
      <c r="KD19" s="141">
        <v>0.36199999999999999</v>
      </c>
      <c r="KE19" s="141">
        <v>0.36199999999999999</v>
      </c>
      <c r="KF19" s="141">
        <v>0.36199999999999999</v>
      </c>
      <c r="KG19" s="141">
        <v>0.36099999999999999</v>
      </c>
      <c r="KH19" s="141">
        <v>0.36099999999999999</v>
      </c>
      <c r="KI19" s="141">
        <v>0.36</v>
      </c>
      <c r="KJ19" s="141">
        <v>0.35899999999999999</v>
      </c>
      <c r="KK19" s="141">
        <v>0.35199999999999998</v>
      </c>
      <c r="KL19" s="141">
        <v>0.35</v>
      </c>
      <c r="KM19" s="141">
        <v>0.34899999999999998</v>
      </c>
      <c r="KN19" s="141">
        <v>0.34799999999999998</v>
      </c>
      <c r="KO19" s="141">
        <v>0.38</v>
      </c>
      <c r="KP19" s="141">
        <v>0.38100000000000001</v>
      </c>
      <c r="KQ19" s="141">
        <v>0.38</v>
      </c>
      <c r="KR19" s="141">
        <v>0.378</v>
      </c>
      <c r="KS19" s="141">
        <v>0.372</v>
      </c>
      <c r="KT19" s="141">
        <v>0.373</v>
      </c>
      <c r="KU19" s="141">
        <v>0.374</v>
      </c>
      <c r="KV19" s="141">
        <v>0.374</v>
      </c>
      <c r="KW19" s="141">
        <v>0.373</v>
      </c>
      <c r="KX19" s="141">
        <v>0.372</v>
      </c>
      <c r="KY19" s="141">
        <v>0.373</v>
      </c>
      <c r="KZ19" s="141">
        <v>0.371</v>
      </c>
      <c r="LA19" s="141">
        <v>0.372</v>
      </c>
      <c r="LB19" s="141">
        <v>0.36399999999999999</v>
      </c>
      <c r="LC19" s="141">
        <v>0.36299999999999999</v>
      </c>
      <c r="LD19" s="141">
        <v>0.36399999999999999</v>
      </c>
      <c r="LE19" s="141">
        <v>0.36399999999999999</v>
      </c>
      <c r="LF19" s="141">
        <v>0.39300000000000002</v>
      </c>
      <c r="LG19" s="141">
        <v>0.39400000000000002</v>
      </c>
      <c r="LH19" s="141">
        <v>0.39300000000000002</v>
      </c>
      <c r="LI19" s="141">
        <v>0.39100000000000001</v>
      </c>
      <c r="LJ19" s="141">
        <v>0.38700000000000001</v>
      </c>
      <c r="LK19" s="141">
        <v>0.38700000000000001</v>
      </c>
      <c r="LL19" s="141">
        <v>0.38600000000000001</v>
      </c>
      <c r="LM19" s="141">
        <v>0.38700000000000001</v>
      </c>
      <c r="LN19" s="141">
        <v>0.38500000000000001</v>
      </c>
      <c r="LO19" s="141">
        <v>0.39500000000000002</v>
      </c>
      <c r="LP19" s="141">
        <v>0.38600000000000001</v>
      </c>
      <c r="LQ19" s="141">
        <v>0.38600000000000001</v>
      </c>
      <c r="LR19" s="141">
        <v>0.38400000000000001</v>
      </c>
      <c r="LS19" s="141">
        <v>0.377</v>
      </c>
      <c r="LT19" s="141">
        <v>0.378</v>
      </c>
      <c r="LU19" s="141">
        <v>0.377</v>
      </c>
      <c r="LV19" s="141">
        <v>0.375</v>
      </c>
      <c r="LW19" s="141">
        <v>0.40500000000000003</v>
      </c>
      <c r="LX19" s="141">
        <v>0.40500000000000003</v>
      </c>
      <c r="LY19" s="141">
        <v>0.40400000000000003</v>
      </c>
      <c r="LZ19" s="141">
        <v>0.40300000000000002</v>
      </c>
      <c r="MA19" s="141">
        <v>0.39800000000000002</v>
      </c>
      <c r="MB19" s="141">
        <v>0.39800000000000002</v>
      </c>
      <c r="MC19" s="141">
        <v>0.39900000000000002</v>
      </c>
      <c r="MD19" s="141">
        <v>0.39900000000000002</v>
      </c>
      <c r="ME19" s="141">
        <v>0.39700000000000002</v>
      </c>
      <c r="MF19" s="141">
        <v>0.39700000000000002</v>
      </c>
      <c r="MG19" s="141">
        <v>0.39900000000000002</v>
      </c>
      <c r="MH19" s="141">
        <v>0.39800000000000002</v>
      </c>
      <c r="MI19" s="141">
        <v>0.39900000000000002</v>
      </c>
      <c r="MJ19" s="141">
        <v>0.39100000000000001</v>
      </c>
      <c r="MK19" s="141">
        <v>0.39100000000000001</v>
      </c>
      <c r="ML19" s="141">
        <v>0.39100000000000001</v>
      </c>
      <c r="MM19" s="141">
        <v>0.38900000000000001</v>
      </c>
      <c r="MN19" s="141">
        <v>0.42</v>
      </c>
      <c r="MO19" s="141">
        <v>0.42</v>
      </c>
      <c r="MP19" s="141">
        <v>0.42099999999999999</v>
      </c>
      <c r="MQ19" s="141">
        <v>0.41799999999999998</v>
      </c>
      <c r="MR19" s="141">
        <v>0.41199999999999998</v>
      </c>
      <c r="MS19" s="141">
        <v>0.41299999999999998</v>
      </c>
      <c r="MT19" s="141">
        <v>0.41499999999999998</v>
      </c>
      <c r="MU19" s="141">
        <v>0.41399999999999998</v>
      </c>
      <c r="MV19" s="141">
        <v>0.41</v>
      </c>
      <c r="MW19" s="141">
        <v>0.27100000000000002</v>
      </c>
      <c r="MX19" s="141">
        <v>0.27300000000000002</v>
      </c>
      <c r="MY19" s="141">
        <v>0.27300000000000002</v>
      </c>
      <c r="MZ19" s="141">
        <v>0.27200000000000002</v>
      </c>
      <c r="NA19" s="141">
        <v>0.26500000000000001</v>
      </c>
      <c r="NB19" s="141">
        <v>0.26600000000000001</v>
      </c>
      <c r="NC19" s="141">
        <v>0.26400000000000001</v>
      </c>
      <c r="ND19" s="141">
        <v>0.26600000000000001</v>
      </c>
      <c r="NE19" s="141">
        <v>0.28899999999999998</v>
      </c>
      <c r="NF19" s="141">
        <v>0.28899999999999998</v>
      </c>
      <c r="NG19" s="141">
        <v>0.28799999999999998</v>
      </c>
      <c r="NH19" s="141">
        <v>0.28599999999999998</v>
      </c>
      <c r="NI19" s="141">
        <v>0.28599999999999998</v>
      </c>
      <c r="NJ19" s="141">
        <v>0.28699999999999998</v>
      </c>
      <c r="NK19" s="141">
        <v>0.28699999999999998</v>
      </c>
      <c r="NL19" s="141">
        <v>0.29599999999999999</v>
      </c>
      <c r="NM19" s="141">
        <v>0.28299999999999997</v>
      </c>
      <c r="NN19" s="141">
        <v>0.28299999999999997</v>
      </c>
      <c r="NO19" s="141">
        <v>0.28499999999999998</v>
      </c>
      <c r="NP19" s="141">
        <v>0.28699999999999998</v>
      </c>
      <c r="NQ19" s="141">
        <v>0.28599999999999998</v>
      </c>
      <c r="NR19" s="141">
        <v>0.27800000000000002</v>
      </c>
      <c r="NS19" s="141">
        <v>0.27800000000000002</v>
      </c>
      <c r="NT19" s="141">
        <v>0.27700000000000002</v>
      </c>
      <c r="NU19" s="141">
        <v>0.27800000000000002</v>
      </c>
      <c r="NV19" s="141">
        <v>0.30299999999999999</v>
      </c>
      <c r="NW19" s="141">
        <v>0.30199999999999999</v>
      </c>
      <c r="NX19" s="141">
        <v>0.3</v>
      </c>
      <c r="NY19" s="141">
        <v>0.3</v>
      </c>
      <c r="NZ19" s="141">
        <v>0.3</v>
      </c>
      <c r="OA19" s="141">
        <v>0.30099999999999999</v>
      </c>
      <c r="OB19" s="141">
        <v>0.30199999999999999</v>
      </c>
      <c r="OC19" s="141">
        <v>0.29899999999999999</v>
      </c>
      <c r="OD19" s="141">
        <v>0.29699999999999999</v>
      </c>
      <c r="OE19" s="141">
        <v>0.29599999999999999</v>
      </c>
      <c r="OF19" s="141">
        <v>0.3</v>
      </c>
      <c r="OG19" s="141">
        <v>0.3</v>
      </c>
      <c r="OH19" s="141">
        <v>0.3</v>
      </c>
      <c r="OI19" s="141">
        <v>0.28999999999999998</v>
      </c>
      <c r="OJ19" s="141">
        <v>0.29199999999999998</v>
      </c>
      <c r="OK19" s="141">
        <v>0.29199999999999998</v>
      </c>
      <c r="OL19" s="141">
        <v>0.29199999999999998</v>
      </c>
      <c r="OM19" s="141">
        <v>0.315</v>
      </c>
      <c r="ON19" s="141">
        <v>0.314</v>
      </c>
      <c r="OO19" s="141">
        <v>0.313</v>
      </c>
      <c r="OP19" s="141">
        <v>0.31</v>
      </c>
      <c r="OQ19" s="141">
        <v>0.31</v>
      </c>
      <c r="OR19" s="141">
        <v>0.312</v>
      </c>
      <c r="OS19" s="141">
        <v>0.313</v>
      </c>
      <c r="OT19" s="141">
        <v>0.311</v>
      </c>
      <c r="OU19" s="141">
        <v>0.309</v>
      </c>
      <c r="OV19" s="141">
        <v>0.309</v>
      </c>
      <c r="OW19" s="141">
        <v>0.311</v>
      </c>
      <c r="OX19" s="141">
        <v>0.313</v>
      </c>
      <c r="OY19" s="141">
        <v>0.313</v>
      </c>
      <c r="OZ19" s="141">
        <v>0.30299999999999999</v>
      </c>
      <c r="PA19" s="141">
        <v>0.30399999999999999</v>
      </c>
      <c r="PB19" s="141">
        <v>0.30099999999999999</v>
      </c>
      <c r="PC19" s="141">
        <v>0.30499999999999999</v>
      </c>
      <c r="PD19" s="141">
        <v>0.32700000000000001</v>
      </c>
      <c r="PE19" s="141">
        <v>0.32600000000000001</v>
      </c>
      <c r="PF19" s="141">
        <v>0.32500000000000001</v>
      </c>
      <c r="PG19" s="141">
        <v>0.32300000000000001</v>
      </c>
      <c r="PH19" s="141">
        <v>0.32400000000000001</v>
      </c>
      <c r="PI19" s="141">
        <v>0.32400000000000001</v>
      </c>
      <c r="PJ19" s="141">
        <v>0.32400000000000001</v>
      </c>
      <c r="PK19" s="141">
        <v>0.32300000000000001</v>
      </c>
      <c r="PL19" s="141">
        <v>0.31900000000000001</v>
      </c>
      <c r="PM19" s="141">
        <v>0.32200000000000001</v>
      </c>
      <c r="PN19" s="141">
        <v>0.32300000000000001</v>
      </c>
      <c r="PO19" s="141">
        <v>0.32500000000000001</v>
      </c>
      <c r="PP19" s="141">
        <v>0.32300000000000001</v>
      </c>
      <c r="PQ19" s="141">
        <v>0.315</v>
      </c>
      <c r="PR19" s="141">
        <v>0.316</v>
      </c>
      <c r="PS19" s="141">
        <v>0.313</v>
      </c>
      <c r="PT19" s="141">
        <v>0.317</v>
      </c>
      <c r="PU19" s="141">
        <v>0.34</v>
      </c>
      <c r="PV19" s="141">
        <v>0.33700000000000002</v>
      </c>
      <c r="PW19" s="141">
        <v>0.33700000000000002</v>
      </c>
      <c r="PX19" s="141">
        <v>0.33600000000000002</v>
      </c>
      <c r="PY19" s="141">
        <v>0.33700000000000002</v>
      </c>
      <c r="PZ19" s="141">
        <v>0.33800000000000002</v>
      </c>
      <c r="QA19" s="141">
        <v>0.33800000000000002</v>
      </c>
      <c r="QB19" s="141">
        <v>0.33500000000000002</v>
      </c>
      <c r="QC19" s="141">
        <v>0.33400000000000002</v>
      </c>
      <c r="QD19" s="141">
        <v>0.33400000000000002</v>
      </c>
      <c r="QE19" s="141">
        <v>0.33700000000000002</v>
      </c>
      <c r="QF19" s="141">
        <v>0.33600000000000002</v>
      </c>
      <c r="QG19" s="141">
        <v>0.33500000000000002</v>
      </c>
      <c r="QH19" s="141">
        <v>0.32700000000000001</v>
      </c>
      <c r="QI19" s="141">
        <v>0.32700000000000001</v>
      </c>
      <c r="QJ19" s="141">
        <v>0.33100000000000002</v>
      </c>
      <c r="QK19" s="141">
        <v>0.32800000000000001</v>
      </c>
      <c r="QL19" s="141">
        <v>0.34899999999999998</v>
      </c>
      <c r="QM19" s="141">
        <v>0.34799999999999998</v>
      </c>
      <c r="QN19" s="141">
        <v>0.34499999999999997</v>
      </c>
      <c r="QO19" s="141">
        <v>0.34599999999999997</v>
      </c>
      <c r="QP19" s="141">
        <v>0.34799999999999998</v>
      </c>
      <c r="QQ19" s="141">
        <v>0.34899999999999998</v>
      </c>
      <c r="QR19" s="141">
        <v>0.34699999999999998</v>
      </c>
      <c r="QS19" s="141">
        <v>0.34399999999999997</v>
      </c>
      <c r="QT19" s="141">
        <v>0.34499999999999997</v>
      </c>
      <c r="QU19" s="141">
        <v>0.34599999999999997</v>
      </c>
      <c r="QV19" s="141">
        <v>0.34799999999999998</v>
      </c>
      <c r="QW19" s="141">
        <v>0.34799999999999998</v>
      </c>
      <c r="QX19" s="141">
        <v>0.34899999999999998</v>
      </c>
      <c r="QY19" s="141">
        <v>0.34200000000000003</v>
      </c>
      <c r="QZ19" s="141">
        <v>0.33900000000000002</v>
      </c>
      <c r="RA19" s="141">
        <v>0.34200000000000003</v>
      </c>
      <c r="RB19" s="141">
        <v>0.34200000000000003</v>
      </c>
      <c r="RC19" s="141">
        <v>0.36099999999999999</v>
      </c>
      <c r="RD19" s="141">
        <v>0.36</v>
      </c>
      <c r="RE19" s="141">
        <v>0.35799999999999998</v>
      </c>
      <c r="RF19" s="141">
        <v>0.35899999999999999</v>
      </c>
      <c r="RG19" s="141">
        <v>0.36099999999999999</v>
      </c>
      <c r="RH19" s="141">
        <v>0.36199999999999999</v>
      </c>
      <c r="RI19" s="141">
        <v>0.36299999999999999</v>
      </c>
      <c r="RJ19" s="141">
        <v>0.35899999999999999</v>
      </c>
      <c r="RK19" s="141">
        <v>0.35799999999999998</v>
      </c>
      <c r="RL19" s="141">
        <v>0.35899999999999999</v>
      </c>
      <c r="RM19" s="141">
        <v>0.36299999999999999</v>
      </c>
      <c r="RN19" s="141">
        <v>0.36199999999999999</v>
      </c>
      <c r="RO19" s="141">
        <v>0.36199999999999999</v>
      </c>
      <c r="RP19" s="141">
        <v>0.35599999999999998</v>
      </c>
      <c r="RQ19" s="141">
        <v>0.35399999999999998</v>
      </c>
      <c r="RR19" s="141">
        <v>0.35499999999999998</v>
      </c>
      <c r="RS19" s="141">
        <v>0.35599999999999998</v>
      </c>
      <c r="RT19" s="141">
        <v>0.374</v>
      </c>
      <c r="RU19" s="141">
        <v>0.372</v>
      </c>
      <c r="RV19" s="141">
        <v>0.37</v>
      </c>
      <c r="RW19" s="141">
        <v>0.37</v>
      </c>
      <c r="RX19" s="141">
        <v>0.371</v>
      </c>
      <c r="RY19" s="141">
        <v>0.372</v>
      </c>
      <c r="RZ19" s="141">
        <v>0.371</v>
      </c>
      <c r="SA19" s="141">
        <v>0.36799999999999999</v>
      </c>
      <c r="SB19" s="141">
        <v>0.36899999999999999</v>
      </c>
      <c r="SC19" s="141">
        <v>0.372</v>
      </c>
      <c r="SD19" s="141">
        <v>0.376</v>
      </c>
      <c r="SE19" s="141">
        <v>0.374</v>
      </c>
      <c r="SF19" s="141">
        <v>0.375</v>
      </c>
      <c r="SG19" s="141">
        <v>0.36899999999999999</v>
      </c>
      <c r="SH19" s="141">
        <v>0.37</v>
      </c>
      <c r="SI19" s="141">
        <v>0.36899999999999999</v>
      </c>
      <c r="SJ19" s="141">
        <v>0.37</v>
      </c>
      <c r="SK19" s="141">
        <v>0.38700000000000001</v>
      </c>
      <c r="SL19" s="141">
        <v>0.38900000000000001</v>
      </c>
      <c r="SM19" s="141">
        <v>0.38300000000000001</v>
      </c>
      <c r="SN19" s="141">
        <v>0.38300000000000001</v>
      </c>
      <c r="SO19" s="141">
        <v>0.38600000000000001</v>
      </c>
      <c r="SP19" s="141">
        <v>0.38600000000000001</v>
      </c>
      <c r="SQ19" s="141">
        <v>0.38600000000000001</v>
      </c>
      <c r="SR19" s="141">
        <v>0.38300000000000001</v>
      </c>
      <c r="SS19" s="141">
        <v>0.38200000000000001</v>
      </c>
      <c r="BXV19" s="142">
        <v>1</v>
      </c>
      <c r="BXW19" s="141" t="s">
        <v>155</v>
      </c>
      <c r="BXX19" s="141" t="s">
        <v>154</v>
      </c>
      <c r="BYA19" s="136">
        <v>0</v>
      </c>
      <c r="BYX19" s="141">
        <v>2</v>
      </c>
      <c r="BYY19" s="141">
        <v>8</v>
      </c>
      <c r="BYZ19" s="141">
        <v>9</v>
      </c>
      <c r="CAM19" s="141">
        <v>1</v>
      </c>
      <c r="CAN19" s="141">
        <v>8</v>
      </c>
      <c r="CAO19" s="141">
        <v>0.105</v>
      </c>
      <c r="CAP19" s="141">
        <v>0</v>
      </c>
      <c r="CAQ19" s="141">
        <v>0.09</v>
      </c>
      <c r="CAR19" s="141">
        <v>9</v>
      </c>
      <c r="CAS19" s="141">
        <v>17</v>
      </c>
      <c r="CAT19" s="141">
        <v>0.15</v>
      </c>
      <c r="CAU19" s="141">
        <v>0</v>
      </c>
      <c r="CAV19" s="141">
        <v>0.09</v>
      </c>
    </row>
    <row r="20" spans="1:543 1998:2030 2067:2086">
      <c r="A20" s="139" t="s">
        <v>449</v>
      </c>
      <c r="B20" s="139">
        <v>17</v>
      </c>
      <c r="C20" s="139">
        <v>1</v>
      </c>
      <c r="D20" s="139">
        <v>1</v>
      </c>
      <c r="E20" s="139">
        <v>10</v>
      </c>
      <c r="F20" s="139" t="s">
        <v>423</v>
      </c>
      <c r="GY20" s="95" t="s">
        <v>450</v>
      </c>
      <c r="GZ20" s="141">
        <v>1.2030000000000001</v>
      </c>
      <c r="HA20" s="141">
        <v>1.204</v>
      </c>
      <c r="HB20" s="141">
        <v>1.2030000000000001</v>
      </c>
      <c r="HC20" s="141">
        <v>1.202</v>
      </c>
      <c r="HD20" s="141">
        <v>1.2030000000000001</v>
      </c>
      <c r="HE20" s="141">
        <v>1.236</v>
      </c>
      <c r="HF20" s="141">
        <v>1.2370000000000001</v>
      </c>
      <c r="HG20" s="141">
        <v>1.236</v>
      </c>
      <c r="HH20" s="141">
        <v>1.2370000000000001</v>
      </c>
      <c r="HI20" s="141">
        <v>1.24</v>
      </c>
      <c r="HJ20" s="141">
        <v>1.24</v>
      </c>
      <c r="HK20" s="141">
        <v>1.246</v>
      </c>
      <c r="HL20" s="141">
        <v>1.246</v>
      </c>
      <c r="HM20" s="141">
        <v>1.2470000000000001</v>
      </c>
      <c r="HN20" s="141">
        <v>1.2470000000000001</v>
      </c>
      <c r="HO20" s="141">
        <v>1.248</v>
      </c>
      <c r="HP20" s="141">
        <v>1.2490000000000001</v>
      </c>
      <c r="HQ20" s="141">
        <v>1.214</v>
      </c>
      <c r="HR20" s="141">
        <v>1.2130000000000001</v>
      </c>
      <c r="HS20" s="141">
        <v>1.214</v>
      </c>
      <c r="HT20" s="141">
        <v>1.214</v>
      </c>
      <c r="HU20" s="141">
        <v>1.2150000000000001</v>
      </c>
      <c r="HV20" s="141">
        <v>1.248</v>
      </c>
      <c r="HW20" s="141">
        <v>1.248</v>
      </c>
      <c r="HX20" s="141">
        <v>1.248</v>
      </c>
      <c r="HY20" s="141">
        <v>1.2490000000000001</v>
      </c>
      <c r="HZ20" s="141">
        <v>1.25</v>
      </c>
      <c r="IA20" s="141">
        <v>1.25</v>
      </c>
      <c r="IB20" s="141">
        <v>1.256</v>
      </c>
      <c r="IC20" s="141">
        <v>1.256</v>
      </c>
      <c r="ID20" s="141">
        <v>1.2569999999999999</v>
      </c>
      <c r="IE20" s="141">
        <v>1.2569999999999999</v>
      </c>
      <c r="IF20" s="141">
        <v>1.2589999999999999</v>
      </c>
      <c r="IG20" s="141">
        <v>1.26</v>
      </c>
      <c r="IH20" s="141">
        <v>1.2250000000000001</v>
      </c>
      <c r="II20" s="141">
        <v>1.2250000000000001</v>
      </c>
      <c r="IJ20" s="141">
        <v>1.226</v>
      </c>
      <c r="IK20" s="141">
        <v>1.2250000000000001</v>
      </c>
      <c r="IL20" s="141">
        <v>1.2250000000000001</v>
      </c>
      <c r="IM20" s="141">
        <v>1.2569999999999999</v>
      </c>
      <c r="IN20" s="141">
        <v>1.258</v>
      </c>
      <c r="IO20" s="141">
        <v>1.26</v>
      </c>
      <c r="IP20" s="141">
        <v>1.2589999999999999</v>
      </c>
      <c r="IQ20" s="141">
        <v>1.262</v>
      </c>
      <c r="IR20" s="141">
        <v>1.262</v>
      </c>
      <c r="IS20" s="141">
        <v>1.2669999999999999</v>
      </c>
      <c r="IT20" s="141">
        <v>1.2669999999999999</v>
      </c>
      <c r="IU20" s="141">
        <v>1.268</v>
      </c>
      <c r="IV20" s="141">
        <v>1.2689999999999999</v>
      </c>
      <c r="IW20" s="141">
        <v>1.2709999999999999</v>
      </c>
      <c r="IX20" s="141">
        <v>1.272</v>
      </c>
      <c r="IY20" s="141">
        <v>1.234</v>
      </c>
      <c r="IZ20" s="141">
        <v>1.234</v>
      </c>
      <c r="JA20" s="141">
        <v>1.234</v>
      </c>
      <c r="JB20" s="141">
        <v>1.2330000000000001</v>
      </c>
      <c r="JC20" s="141">
        <v>1.2350000000000001</v>
      </c>
      <c r="JD20" s="141">
        <v>1.2689999999999999</v>
      </c>
      <c r="JE20" s="141">
        <v>1.2689999999999999</v>
      </c>
      <c r="JF20" s="141">
        <v>1.27</v>
      </c>
      <c r="JG20" s="141">
        <v>1.2729999999999999</v>
      </c>
      <c r="JH20" s="141">
        <v>1.272</v>
      </c>
      <c r="JI20" s="141">
        <v>1.274</v>
      </c>
      <c r="JJ20" s="141">
        <v>1.2789999999999999</v>
      </c>
      <c r="JK20" s="141">
        <v>1.2789999999999999</v>
      </c>
      <c r="JL20" s="141">
        <v>1.2789999999999999</v>
      </c>
      <c r="JM20" s="141">
        <v>1.2809999999999999</v>
      </c>
      <c r="JN20" s="141">
        <v>1.2829999999999999</v>
      </c>
      <c r="JO20" s="141">
        <v>1.2809999999999999</v>
      </c>
      <c r="JP20" s="141">
        <v>1.2490000000000001</v>
      </c>
      <c r="JQ20" s="141">
        <v>1.2470000000000001</v>
      </c>
      <c r="JR20" s="141">
        <v>1.248</v>
      </c>
      <c r="JS20" s="141">
        <v>1.248</v>
      </c>
      <c r="JT20" s="141">
        <v>1.2490000000000001</v>
      </c>
      <c r="JU20" s="141">
        <v>1.282</v>
      </c>
      <c r="JV20" s="141">
        <v>1.2829999999999999</v>
      </c>
      <c r="JW20" s="141">
        <v>1.2829999999999999</v>
      </c>
      <c r="JX20" s="141">
        <v>1.286</v>
      </c>
      <c r="JY20" s="141">
        <v>1.2869999999999999</v>
      </c>
      <c r="JZ20" s="141">
        <v>1.288</v>
      </c>
      <c r="KA20" s="141">
        <v>1.294</v>
      </c>
      <c r="KB20" s="141">
        <v>1.294</v>
      </c>
      <c r="KC20" s="141">
        <v>1.2949999999999999</v>
      </c>
      <c r="KD20" s="141">
        <v>1.2929999999999999</v>
      </c>
      <c r="KE20" s="141">
        <v>1.2949999999999999</v>
      </c>
      <c r="KF20" s="141">
        <v>1.296</v>
      </c>
      <c r="KG20" s="141">
        <v>1.256</v>
      </c>
      <c r="KH20" s="141">
        <v>1.2549999999999999</v>
      </c>
      <c r="KI20" s="141">
        <v>1.2569999999999999</v>
      </c>
      <c r="KJ20" s="141">
        <v>1.256</v>
      </c>
      <c r="KK20" s="141">
        <v>1.256</v>
      </c>
      <c r="KL20" s="141">
        <v>1.2909999999999999</v>
      </c>
      <c r="KM20" s="141">
        <v>1.292</v>
      </c>
      <c r="KN20" s="141">
        <v>1.294</v>
      </c>
      <c r="KO20" s="141">
        <v>1.296</v>
      </c>
      <c r="KP20" s="141">
        <v>1.2949999999999999</v>
      </c>
      <c r="KQ20" s="141">
        <v>1.296</v>
      </c>
      <c r="KR20" s="141">
        <v>1.3</v>
      </c>
      <c r="KS20" s="141">
        <v>1.302</v>
      </c>
      <c r="KT20" s="141">
        <v>1.302</v>
      </c>
      <c r="KU20" s="141">
        <v>1.3049999999999999</v>
      </c>
      <c r="KV20" s="141">
        <v>1.306</v>
      </c>
      <c r="KW20" s="141">
        <v>1.304</v>
      </c>
      <c r="KX20" s="141">
        <v>1.27</v>
      </c>
      <c r="KY20" s="141">
        <v>1.2689999999999999</v>
      </c>
      <c r="KZ20" s="141">
        <v>1.27</v>
      </c>
      <c r="LA20" s="141">
        <v>1.27</v>
      </c>
      <c r="LB20" s="141">
        <v>1.2709999999999999</v>
      </c>
      <c r="LC20" s="141">
        <v>1.3049999999999999</v>
      </c>
      <c r="LD20" s="141">
        <v>1.306</v>
      </c>
      <c r="LE20" s="141">
        <v>1.306</v>
      </c>
      <c r="LF20" s="141">
        <v>1.31</v>
      </c>
      <c r="LG20" s="141">
        <v>1.3109999999999999</v>
      </c>
      <c r="LH20" s="141">
        <v>1.3109999999999999</v>
      </c>
      <c r="LI20" s="141">
        <v>1.3160000000000001</v>
      </c>
      <c r="LJ20" s="141">
        <v>1.3169999999999999</v>
      </c>
      <c r="LK20" s="141">
        <v>1.3169999999999999</v>
      </c>
      <c r="LL20" s="141">
        <v>1.319</v>
      </c>
      <c r="LM20" s="141">
        <v>1.32</v>
      </c>
      <c r="LN20" s="141">
        <v>1.32</v>
      </c>
      <c r="LO20" s="141">
        <v>1.278</v>
      </c>
      <c r="LP20" s="141">
        <v>1.2749999999999999</v>
      </c>
      <c r="LQ20" s="141">
        <v>1.278</v>
      </c>
      <c r="LR20" s="141">
        <v>1.278</v>
      </c>
      <c r="LS20" s="141">
        <v>1.278</v>
      </c>
      <c r="LT20" s="141">
        <v>1.3129999999999999</v>
      </c>
      <c r="LU20" s="141">
        <v>1.3129999999999999</v>
      </c>
      <c r="LV20" s="141">
        <v>1.3140000000000001</v>
      </c>
      <c r="LW20" s="141">
        <v>1.3169999999999999</v>
      </c>
      <c r="LX20" s="141">
        <v>1.3180000000000001</v>
      </c>
      <c r="LY20" s="141">
        <v>1.319</v>
      </c>
      <c r="LZ20" s="141">
        <v>1.323</v>
      </c>
      <c r="MA20" s="141">
        <v>1.3240000000000001</v>
      </c>
      <c r="MB20" s="141">
        <v>1.325</v>
      </c>
      <c r="MC20" s="141">
        <v>1.3260000000000001</v>
      </c>
      <c r="MD20" s="141">
        <v>1.3280000000000001</v>
      </c>
      <c r="ME20" s="141">
        <v>1.3260000000000001</v>
      </c>
      <c r="MF20" s="141">
        <v>1.29</v>
      </c>
      <c r="MG20" s="141">
        <v>1.292</v>
      </c>
      <c r="MH20" s="141">
        <v>1.292</v>
      </c>
      <c r="MI20" s="141">
        <v>1.2909999999999999</v>
      </c>
      <c r="MJ20" s="141">
        <v>1.292</v>
      </c>
      <c r="MK20" s="141">
        <v>1.327</v>
      </c>
      <c r="ML20" s="141">
        <v>1.3280000000000001</v>
      </c>
      <c r="MM20" s="141">
        <v>1.33</v>
      </c>
      <c r="MN20" s="141">
        <v>1.3320000000000001</v>
      </c>
      <c r="MO20" s="141">
        <v>1.333</v>
      </c>
      <c r="MP20" s="141">
        <v>1.3340000000000001</v>
      </c>
      <c r="MQ20" s="141">
        <v>1.3380000000000001</v>
      </c>
      <c r="MR20" s="141">
        <v>1.339</v>
      </c>
      <c r="MS20" s="141">
        <v>1.339</v>
      </c>
      <c r="MT20" s="141">
        <v>1.3420000000000001</v>
      </c>
      <c r="MU20" s="141">
        <v>1.343</v>
      </c>
      <c r="MV20" s="141">
        <v>1.341</v>
      </c>
      <c r="MW20" s="141">
        <v>1.2969999999999999</v>
      </c>
      <c r="MX20" s="141">
        <v>1.298</v>
      </c>
      <c r="MY20" s="141">
        <v>1.2989999999999999</v>
      </c>
      <c r="MZ20" s="141">
        <v>1.2989999999999999</v>
      </c>
      <c r="NA20" s="141">
        <v>1.2989999999999999</v>
      </c>
      <c r="NB20" s="141">
        <v>1.3320000000000001</v>
      </c>
      <c r="NC20" s="141">
        <v>1.335</v>
      </c>
      <c r="ND20" s="141">
        <v>1.335</v>
      </c>
      <c r="NE20" s="141">
        <v>1.3380000000000001</v>
      </c>
      <c r="NF20" s="141">
        <v>1.339</v>
      </c>
      <c r="NG20" s="141">
        <v>1.34</v>
      </c>
      <c r="NH20" s="141">
        <v>1.345</v>
      </c>
      <c r="NI20" s="141">
        <v>1.3460000000000001</v>
      </c>
      <c r="NJ20" s="141">
        <v>1.345</v>
      </c>
      <c r="NK20" s="141">
        <v>1.349</v>
      </c>
      <c r="NL20" s="141">
        <v>1.349</v>
      </c>
      <c r="NM20" s="141">
        <v>1.3480000000000001</v>
      </c>
      <c r="BXV20" s="142">
        <v>1</v>
      </c>
      <c r="BXW20" s="141" t="s">
        <v>155</v>
      </c>
      <c r="BXX20" s="141" t="s">
        <v>154</v>
      </c>
      <c r="BYA20" s="136">
        <v>0</v>
      </c>
      <c r="BYX20" s="141">
        <v>4</v>
      </c>
      <c r="BYY20" s="141">
        <v>4</v>
      </c>
      <c r="BYZ20" s="141">
        <v>1</v>
      </c>
      <c r="BZA20" s="141">
        <v>6</v>
      </c>
      <c r="BZB20" s="141">
        <v>6</v>
      </c>
      <c r="CAM20" s="141">
        <v>1</v>
      </c>
      <c r="CAN20" s="141">
        <v>4</v>
      </c>
      <c r="CAO20" s="141">
        <v>0.09</v>
      </c>
      <c r="CAP20" s="141">
        <v>0.01</v>
      </c>
      <c r="CAQ20" s="141">
        <v>0.17899999999999999</v>
      </c>
      <c r="CAR20" s="141">
        <v>5</v>
      </c>
      <c r="CAS20" s="141">
        <v>5</v>
      </c>
      <c r="CAT20" s="141">
        <v>0</v>
      </c>
      <c r="CAU20" s="141">
        <v>0.15</v>
      </c>
      <c r="CAV20" s="141">
        <v>0.26900000000000002</v>
      </c>
      <c r="CAW20" s="141">
        <v>6</v>
      </c>
      <c r="CAX20" s="141">
        <v>11</v>
      </c>
      <c r="CAY20" s="141">
        <v>0.09</v>
      </c>
      <c r="CAZ20" s="141">
        <v>0.01</v>
      </c>
      <c r="CBA20" s="141">
        <v>0.17899999999999999</v>
      </c>
      <c r="CBB20" s="141">
        <v>12</v>
      </c>
      <c r="CBC20" s="141">
        <v>17</v>
      </c>
      <c r="CBD20" s="141">
        <v>0.09</v>
      </c>
      <c r="CBE20" s="141">
        <v>0.01</v>
      </c>
      <c r="CBF20" s="141">
        <v>0.17899999999999999</v>
      </c>
    </row>
    <row r="21" spans="1:543 1998:2030 2067:2086">
      <c r="A21" s="139" t="s">
        <v>451</v>
      </c>
      <c r="B21" s="139">
        <v>3</v>
      </c>
      <c r="C21" s="139">
        <v>1</v>
      </c>
      <c r="D21" s="139">
        <v>1</v>
      </c>
      <c r="E21" s="139">
        <v>10</v>
      </c>
      <c r="F21" s="139" t="s">
        <v>423</v>
      </c>
      <c r="GY21" s="95" t="s">
        <v>450</v>
      </c>
      <c r="GZ21" s="141">
        <v>0.216</v>
      </c>
      <c r="HA21" s="141">
        <v>0.25</v>
      </c>
      <c r="HB21" s="141">
        <v>0.25900000000000001</v>
      </c>
      <c r="HC21" s="141">
        <v>0.224</v>
      </c>
      <c r="HD21" s="141">
        <v>0.25800000000000001</v>
      </c>
      <c r="HE21" s="141">
        <v>0.26800000000000002</v>
      </c>
      <c r="HF21" s="141">
        <v>0.23699999999999999</v>
      </c>
      <c r="HG21" s="141">
        <v>0.27300000000000002</v>
      </c>
      <c r="HH21" s="141">
        <v>0.28299999999999997</v>
      </c>
      <c r="HI21" s="141">
        <v>0.24399999999999999</v>
      </c>
      <c r="HJ21" s="141">
        <v>0.28199999999999997</v>
      </c>
      <c r="HK21" s="141">
        <v>0.29199999999999998</v>
      </c>
      <c r="HL21" s="141">
        <v>0.26200000000000001</v>
      </c>
      <c r="HM21" s="141">
        <v>0.29799999999999999</v>
      </c>
      <c r="HN21" s="141">
        <v>0.30599999999999999</v>
      </c>
      <c r="HO21" s="141">
        <v>0.27200000000000002</v>
      </c>
      <c r="HP21" s="141">
        <v>0.30599999999999999</v>
      </c>
      <c r="HQ21" s="141">
        <v>0.317</v>
      </c>
      <c r="HR21" s="141">
        <v>0.28599999999999998</v>
      </c>
      <c r="HS21" s="141">
        <v>0.32200000000000001</v>
      </c>
      <c r="HT21" s="141">
        <v>0.33300000000000002</v>
      </c>
      <c r="HU21" s="141">
        <v>0.29499999999999998</v>
      </c>
      <c r="HV21" s="141">
        <v>0.33200000000000002</v>
      </c>
      <c r="HW21" s="141">
        <v>0.34200000000000003</v>
      </c>
      <c r="HX21" s="141">
        <v>0.308</v>
      </c>
      <c r="HY21" s="141">
        <v>0.34599999999999997</v>
      </c>
      <c r="HZ21" s="141">
        <v>0.35599999999999998</v>
      </c>
      <c r="IA21" s="141">
        <v>0.317</v>
      </c>
      <c r="IB21" s="141">
        <v>0.35399999999999998</v>
      </c>
      <c r="IC21" s="141">
        <v>0.36499999999999999</v>
      </c>
      <c r="BXV21" s="142">
        <v>1</v>
      </c>
      <c r="BXW21" s="141" t="s">
        <v>155</v>
      </c>
      <c r="BXX21" s="141" t="s">
        <v>154</v>
      </c>
      <c r="BYA21" s="136">
        <v>0</v>
      </c>
      <c r="BYX21" s="141">
        <v>3</v>
      </c>
      <c r="BYY21" s="141">
        <v>1</v>
      </c>
      <c r="BYZ21" s="141">
        <v>1</v>
      </c>
      <c r="BZA21" s="141">
        <v>1</v>
      </c>
      <c r="CAM21" s="141">
        <v>1</v>
      </c>
      <c r="CAN21" s="141">
        <v>1</v>
      </c>
      <c r="CAO21" s="141">
        <v>0.09</v>
      </c>
      <c r="CAP21" s="141">
        <v>0.01</v>
      </c>
      <c r="CAQ21" s="141">
        <v>8.8999999999999996E-2</v>
      </c>
      <c r="CAR21" s="141">
        <v>2</v>
      </c>
      <c r="CAS21" s="141">
        <v>2</v>
      </c>
      <c r="CAT21" s="141">
        <v>0.09</v>
      </c>
      <c r="CAU21" s="141">
        <v>0.01</v>
      </c>
      <c r="CAV21" s="141">
        <v>8.8999999999999996E-2</v>
      </c>
      <c r="CAW21" s="141">
        <v>3</v>
      </c>
      <c r="CAX21" s="141">
        <v>3</v>
      </c>
      <c r="CAY21" s="141">
        <v>0.09</v>
      </c>
      <c r="CAZ21" s="141">
        <v>0.01</v>
      </c>
      <c r="CBA21" s="141">
        <v>8.8999999999999996E-2</v>
      </c>
    </row>
    <row r="22" spans="1:543 1998:2030 2067:2086">
      <c r="A22" s="139" t="s">
        <v>452</v>
      </c>
      <c r="B22" s="139">
        <v>2</v>
      </c>
      <c r="C22" s="139">
        <v>1</v>
      </c>
      <c r="D22" s="139">
        <v>4</v>
      </c>
      <c r="E22" s="139">
        <v>12</v>
      </c>
      <c r="F22" s="139" t="s">
        <v>423</v>
      </c>
      <c r="GY22" s="95" t="s">
        <v>453</v>
      </c>
      <c r="GZ22" s="141">
        <v>1.357</v>
      </c>
      <c r="HA22" s="141">
        <v>1.3580000000000001</v>
      </c>
      <c r="HB22" s="141">
        <v>1.36</v>
      </c>
      <c r="HC22" s="141">
        <v>1.36</v>
      </c>
      <c r="HD22" s="141">
        <v>1.361</v>
      </c>
      <c r="HE22" s="141">
        <v>1.359</v>
      </c>
      <c r="HF22" s="141">
        <v>1.359</v>
      </c>
      <c r="HG22" s="141">
        <v>1.359</v>
      </c>
      <c r="HH22" s="141">
        <v>1.357</v>
      </c>
      <c r="HI22" s="141">
        <v>1.3560000000000001</v>
      </c>
      <c r="HJ22" s="141">
        <v>1.3540000000000001</v>
      </c>
      <c r="HK22" s="141">
        <v>1.3540000000000001</v>
      </c>
      <c r="HL22" s="141">
        <v>1.351</v>
      </c>
      <c r="HM22" s="141">
        <v>1.35</v>
      </c>
      <c r="HN22" s="141">
        <v>1.3460000000000001</v>
      </c>
      <c r="HO22" s="141">
        <v>1.347</v>
      </c>
      <c r="HP22" s="141">
        <v>1.3440000000000001</v>
      </c>
      <c r="HQ22" s="141">
        <v>1.345</v>
      </c>
      <c r="HR22" s="141">
        <v>1.3440000000000001</v>
      </c>
      <c r="HS22" s="141">
        <v>1.343</v>
      </c>
      <c r="HT22" s="141">
        <v>1.34</v>
      </c>
      <c r="HU22" s="141">
        <v>1.341</v>
      </c>
      <c r="HV22" s="141">
        <v>1.337</v>
      </c>
      <c r="HW22" s="141">
        <v>1.339</v>
      </c>
      <c r="HX22" s="141">
        <v>1.339</v>
      </c>
      <c r="HY22" s="141">
        <v>1.339</v>
      </c>
      <c r="HZ22" s="141">
        <v>1.3440000000000001</v>
      </c>
      <c r="IA22" s="141">
        <v>1.3460000000000001</v>
      </c>
      <c r="IB22" s="141">
        <v>1.3480000000000001</v>
      </c>
      <c r="IC22" s="141">
        <v>1.347</v>
      </c>
      <c r="ID22" s="141">
        <v>1.3480000000000001</v>
      </c>
      <c r="IE22" s="141">
        <v>1.3480000000000001</v>
      </c>
      <c r="IF22" s="141">
        <v>1.3460000000000001</v>
      </c>
      <c r="IG22" s="141">
        <v>1.347</v>
      </c>
      <c r="IH22" s="141">
        <v>1.3460000000000001</v>
      </c>
      <c r="II22" s="141">
        <v>1.3460000000000001</v>
      </c>
      <c r="IJ22" s="141">
        <v>1.3420000000000001</v>
      </c>
      <c r="IK22" s="141">
        <v>1.343</v>
      </c>
      <c r="IL22" s="141">
        <v>1.341</v>
      </c>
      <c r="IM22" s="141">
        <v>1.341</v>
      </c>
      <c r="IN22" s="141">
        <v>1.341</v>
      </c>
      <c r="IO22" s="141">
        <v>1.34</v>
      </c>
      <c r="IP22" s="141">
        <v>1.337</v>
      </c>
      <c r="IQ22" s="141">
        <v>1.337</v>
      </c>
      <c r="IR22" s="141">
        <v>1.3340000000000001</v>
      </c>
      <c r="IS22" s="141">
        <v>1.3340000000000001</v>
      </c>
      <c r="IT22" s="141">
        <v>1.331</v>
      </c>
      <c r="IU22" s="141">
        <v>1.331</v>
      </c>
      <c r="IV22" s="141">
        <v>1.341</v>
      </c>
      <c r="IW22" s="141">
        <v>1.34</v>
      </c>
      <c r="IX22" s="141">
        <v>1.35</v>
      </c>
      <c r="IY22" s="141">
        <v>1.3460000000000001</v>
      </c>
      <c r="IZ22" s="141">
        <v>1.3480000000000001</v>
      </c>
      <c r="JA22" s="141">
        <v>1.3460000000000001</v>
      </c>
      <c r="JB22" s="141">
        <v>1.349</v>
      </c>
      <c r="JC22" s="141">
        <v>1.3480000000000001</v>
      </c>
      <c r="JD22" s="141">
        <v>1.347</v>
      </c>
      <c r="JE22" s="141">
        <v>1.347</v>
      </c>
      <c r="JF22" s="141">
        <v>1.347</v>
      </c>
      <c r="JG22" s="141">
        <v>1.347</v>
      </c>
      <c r="JH22" s="141">
        <v>1.343</v>
      </c>
      <c r="JI22" s="141">
        <v>1.3440000000000001</v>
      </c>
      <c r="JJ22" s="141">
        <v>1.3440000000000001</v>
      </c>
      <c r="JK22" s="141">
        <v>1.345</v>
      </c>
      <c r="JL22" s="141">
        <v>1.343</v>
      </c>
      <c r="JM22" s="141">
        <v>1.343</v>
      </c>
      <c r="JN22" s="141">
        <v>1.3420000000000001</v>
      </c>
      <c r="JO22" s="141">
        <v>1.3420000000000001</v>
      </c>
      <c r="JP22" s="141">
        <v>1.339</v>
      </c>
      <c r="JQ22" s="141">
        <v>1.339</v>
      </c>
      <c r="JR22" s="141">
        <v>1.337</v>
      </c>
      <c r="JS22" s="141">
        <v>1.3380000000000001</v>
      </c>
      <c r="JT22" s="141">
        <v>1.367</v>
      </c>
      <c r="JU22" s="141">
        <v>1.359</v>
      </c>
      <c r="JV22" s="141">
        <v>1.3620000000000001</v>
      </c>
      <c r="JW22" s="141">
        <v>1.3580000000000001</v>
      </c>
      <c r="JX22" s="141">
        <v>1.361</v>
      </c>
      <c r="JY22" s="141">
        <v>1.359</v>
      </c>
      <c r="JZ22" s="141">
        <v>1.3620000000000001</v>
      </c>
      <c r="KA22" s="141">
        <v>1.361</v>
      </c>
      <c r="KB22" s="141">
        <v>1.361</v>
      </c>
      <c r="KC22" s="141">
        <v>1.36</v>
      </c>
      <c r="KD22" s="141">
        <v>1.361</v>
      </c>
      <c r="KE22" s="141">
        <v>1.359</v>
      </c>
      <c r="KF22" s="141">
        <v>1.359</v>
      </c>
      <c r="KG22" s="141">
        <v>1.357</v>
      </c>
      <c r="KH22" s="141">
        <v>1.359</v>
      </c>
      <c r="KI22" s="141">
        <v>1.3580000000000001</v>
      </c>
      <c r="KJ22" s="141">
        <v>1.38</v>
      </c>
      <c r="KK22" s="141">
        <v>1.371</v>
      </c>
      <c r="KL22" s="141">
        <v>1.3740000000000001</v>
      </c>
      <c r="KM22" s="141">
        <v>1.369</v>
      </c>
      <c r="KN22" s="141">
        <v>1.375</v>
      </c>
      <c r="KO22" s="141">
        <v>1.3680000000000001</v>
      </c>
      <c r="KP22" s="141">
        <v>1.37</v>
      </c>
      <c r="KQ22" s="141">
        <v>1.3660000000000001</v>
      </c>
      <c r="BXV22" s="142">
        <v>1</v>
      </c>
      <c r="BXW22" s="141" t="s">
        <v>155</v>
      </c>
      <c r="BXX22" s="141" t="s">
        <v>154</v>
      </c>
      <c r="BYA22" s="136">
        <v>0</v>
      </c>
      <c r="BYX22" s="141">
        <v>1</v>
      </c>
      <c r="BYY22" s="141">
        <v>2</v>
      </c>
      <c r="CAM22" s="141">
        <v>1</v>
      </c>
      <c r="CAN22" s="141">
        <v>2</v>
      </c>
      <c r="CAO22" s="141">
        <v>0.105</v>
      </c>
      <c r="CAP22" s="141">
        <v>0.01</v>
      </c>
      <c r="CAQ22" s="141">
        <v>0.09</v>
      </c>
    </row>
    <row r="23" spans="1:543 1998:2030 2067:2086">
      <c r="A23" s="139" t="s">
        <v>454</v>
      </c>
      <c r="B23" s="139">
        <v>7</v>
      </c>
      <c r="C23" s="139">
        <v>1</v>
      </c>
      <c r="D23" s="139">
        <v>4</v>
      </c>
      <c r="E23" s="139">
        <v>12</v>
      </c>
      <c r="F23" s="139" t="s">
        <v>423</v>
      </c>
      <c r="GY23" s="95" t="s">
        <v>455</v>
      </c>
      <c r="GZ23" s="141">
        <v>0.16800000000000001</v>
      </c>
      <c r="HA23" s="141">
        <v>0.16500000000000001</v>
      </c>
      <c r="HB23" s="141">
        <v>0.16600000000000001</v>
      </c>
      <c r="HC23" s="141">
        <v>0.16500000000000001</v>
      </c>
      <c r="HD23" s="141">
        <v>0.16800000000000001</v>
      </c>
      <c r="HE23" s="141">
        <v>0.16800000000000001</v>
      </c>
      <c r="HF23" s="141">
        <v>0.16600000000000001</v>
      </c>
      <c r="HG23" s="141">
        <v>0.16400000000000001</v>
      </c>
      <c r="HH23" s="141">
        <v>0.16500000000000001</v>
      </c>
      <c r="HI23" s="141">
        <v>0.16600000000000001</v>
      </c>
      <c r="HJ23" s="141">
        <v>0.16600000000000001</v>
      </c>
      <c r="HK23" s="141">
        <v>0.16700000000000001</v>
      </c>
      <c r="HL23" s="141">
        <v>0.16500000000000001</v>
      </c>
      <c r="HM23" s="141">
        <v>0.16600000000000001</v>
      </c>
      <c r="HN23" s="141">
        <v>0.16</v>
      </c>
      <c r="HO23" s="141">
        <v>0.16200000000000001</v>
      </c>
      <c r="HP23" s="141">
        <v>0.16200000000000001</v>
      </c>
      <c r="HQ23" s="141">
        <v>0.16400000000000001</v>
      </c>
      <c r="HR23" s="141">
        <v>0.16600000000000001</v>
      </c>
      <c r="HS23" s="141">
        <v>0.16400000000000001</v>
      </c>
      <c r="HT23" s="141">
        <v>0.16400000000000001</v>
      </c>
      <c r="HU23" s="141">
        <v>0.16300000000000001</v>
      </c>
      <c r="HV23" s="141">
        <v>0.16200000000000001</v>
      </c>
      <c r="HW23" s="141">
        <v>0.16400000000000001</v>
      </c>
      <c r="HX23" s="141">
        <v>0.16400000000000001</v>
      </c>
      <c r="HY23" s="141">
        <v>0.16300000000000001</v>
      </c>
      <c r="HZ23" s="141">
        <v>0.16300000000000001</v>
      </c>
      <c r="IA23" s="141">
        <v>0.16300000000000001</v>
      </c>
      <c r="IB23" s="141">
        <v>0.16</v>
      </c>
      <c r="IC23" s="141">
        <v>0.159</v>
      </c>
      <c r="ID23" s="141">
        <v>0.16</v>
      </c>
      <c r="IE23" s="141">
        <v>0.16</v>
      </c>
      <c r="IF23" s="141">
        <v>0.16</v>
      </c>
      <c r="IG23" s="141">
        <v>0.161</v>
      </c>
      <c r="IH23" s="141">
        <v>0.16200000000000001</v>
      </c>
      <c r="II23" s="141">
        <v>0.156</v>
      </c>
      <c r="IJ23" s="141">
        <v>0.155</v>
      </c>
      <c r="IK23" s="141">
        <v>0.156</v>
      </c>
      <c r="IL23" s="141">
        <v>0.157</v>
      </c>
      <c r="IM23" s="141">
        <v>0.158</v>
      </c>
      <c r="IN23" s="141">
        <v>0.158</v>
      </c>
      <c r="IO23" s="141">
        <v>0.158</v>
      </c>
      <c r="IP23" s="141">
        <v>0.151</v>
      </c>
      <c r="IQ23" s="141">
        <v>0.152</v>
      </c>
      <c r="IR23" s="141">
        <v>0.152</v>
      </c>
      <c r="IS23" s="141">
        <v>0.152</v>
      </c>
      <c r="IT23" s="141">
        <v>0.153</v>
      </c>
      <c r="IU23" s="141">
        <v>0.154</v>
      </c>
      <c r="IV23" s="141">
        <v>0.153</v>
      </c>
      <c r="IW23" s="141">
        <v>0.151</v>
      </c>
      <c r="IX23" s="141">
        <v>0.14899999999999999</v>
      </c>
      <c r="IY23" s="141">
        <v>0.15</v>
      </c>
      <c r="IZ23" s="141">
        <v>0.15</v>
      </c>
      <c r="JA23" s="141">
        <v>0.151</v>
      </c>
      <c r="JB23" s="141">
        <v>0.151</v>
      </c>
      <c r="JC23" s="141">
        <v>0.151</v>
      </c>
      <c r="JD23" s="141">
        <v>0.14799999999999999</v>
      </c>
      <c r="JE23" s="141">
        <v>0.14599999999999999</v>
      </c>
      <c r="JF23" s="141">
        <v>0.14699999999999999</v>
      </c>
      <c r="JG23" s="141">
        <v>0.14699999999999999</v>
      </c>
      <c r="JH23" s="141">
        <v>0.14799999999999999</v>
      </c>
      <c r="JI23" s="141">
        <v>0.14799999999999999</v>
      </c>
      <c r="JJ23" s="141">
        <v>0.14899999999999999</v>
      </c>
      <c r="JK23" s="141">
        <v>0.14299999999999999</v>
      </c>
      <c r="JL23" s="141">
        <v>0.14199999999999999</v>
      </c>
      <c r="JM23" s="141">
        <v>0.14199999999999999</v>
      </c>
      <c r="JN23" s="141">
        <v>0.14299999999999999</v>
      </c>
      <c r="JO23" s="141">
        <v>0.14399999999999999</v>
      </c>
      <c r="JP23" s="141">
        <v>0.14399999999999999</v>
      </c>
      <c r="JQ23" s="141">
        <v>0.14399999999999999</v>
      </c>
      <c r="JR23" s="141">
        <v>0.13600000000000001</v>
      </c>
      <c r="JS23" s="141">
        <v>0.13600000000000001</v>
      </c>
      <c r="JT23" s="141">
        <v>0.13600000000000001</v>
      </c>
      <c r="JU23" s="141">
        <v>0.13700000000000001</v>
      </c>
      <c r="JV23" s="141">
        <v>0.13800000000000001</v>
      </c>
      <c r="JW23" s="141">
        <v>0.13900000000000001</v>
      </c>
      <c r="JX23" s="141">
        <v>0.13900000000000001</v>
      </c>
      <c r="JY23" s="141">
        <v>0.13400000000000001</v>
      </c>
      <c r="JZ23" s="141">
        <v>0.13400000000000001</v>
      </c>
      <c r="KA23" s="141">
        <v>0.13500000000000001</v>
      </c>
      <c r="KB23" s="141">
        <v>0.13500000000000001</v>
      </c>
      <c r="KC23" s="141">
        <v>0.13600000000000001</v>
      </c>
      <c r="KD23" s="141">
        <v>0.13700000000000001</v>
      </c>
      <c r="KE23" s="141">
        <v>0.13600000000000001</v>
      </c>
      <c r="KF23" s="141">
        <v>0.14299999999999999</v>
      </c>
      <c r="KG23" s="141">
        <v>0.14299999999999999</v>
      </c>
      <c r="KH23" s="141">
        <v>0.14399999999999999</v>
      </c>
      <c r="KI23" s="141">
        <v>0.14299999999999999</v>
      </c>
      <c r="KJ23" s="141">
        <v>0.14599999999999999</v>
      </c>
      <c r="KK23" s="141">
        <v>0.14599999999999999</v>
      </c>
      <c r="KL23" s="141">
        <v>0.14599999999999999</v>
      </c>
      <c r="KM23" s="141">
        <v>0.14599999999999999</v>
      </c>
      <c r="KN23" s="141">
        <v>0.14599999999999999</v>
      </c>
      <c r="KO23" s="141">
        <v>0.14699999999999999</v>
      </c>
      <c r="KP23" s="141">
        <v>0.14699999999999999</v>
      </c>
      <c r="KQ23" s="141">
        <v>0.14699999999999999</v>
      </c>
      <c r="KR23" s="141">
        <v>0.15</v>
      </c>
      <c r="KS23" s="141">
        <v>0.154</v>
      </c>
      <c r="KT23" s="141">
        <v>0.14399999999999999</v>
      </c>
      <c r="KU23" s="141">
        <v>0.14399999999999999</v>
      </c>
      <c r="KV23" s="141">
        <v>0.14599999999999999</v>
      </c>
      <c r="KW23" s="141">
        <v>0.14499999999999999</v>
      </c>
      <c r="KX23" s="141">
        <v>0.14699999999999999</v>
      </c>
      <c r="KY23" s="141">
        <v>0.14899999999999999</v>
      </c>
      <c r="KZ23" s="141">
        <v>0.151</v>
      </c>
      <c r="LA23" s="141">
        <v>0.14799999999999999</v>
      </c>
      <c r="LB23" s="141">
        <v>0.14799999999999999</v>
      </c>
      <c r="LC23" s="141">
        <v>0.14599999999999999</v>
      </c>
      <c r="LD23" s="141">
        <v>0.14699999999999999</v>
      </c>
      <c r="LE23" s="141">
        <v>0.14899999999999999</v>
      </c>
      <c r="LF23" s="141">
        <v>0.15</v>
      </c>
      <c r="LG23" s="141">
        <v>0.14899999999999999</v>
      </c>
      <c r="LH23" s="141">
        <v>0.14499999999999999</v>
      </c>
      <c r="LI23" s="141">
        <v>0.14599999999999999</v>
      </c>
      <c r="LJ23" s="141">
        <v>0.14599999999999999</v>
      </c>
      <c r="LK23" s="141">
        <v>0.14499999999999999</v>
      </c>
      <c r="LL23" s="141">
        <v>0.14599999999999999</v>
      </c>
      <c r="LM23" s="141">
        <v>0.14699999999999999</v>
      </c>
      <c r="LN23" s="141">
        <v>0.14799999999999999</v>
      </c>
      <c r="LO23" s="141">
        <v>0.14399999999999999</v>
      </c>
      <c r="LP23" s="141">
        <v>0.14299999999999999</v>
      </c>
      <c r="LQ23" s="141">
        <v>0.14199999999999999</v>
      </c>
      <c r="LR23" s="141">
        <v>0.14099999999999999</v>
      </c>
      <c r="LS23" s="141">
        <v>0.14399999999999999</v>
      </c>
      <c r="LT23" s="141">
        <v>0.14499999999999999</v>
      </c>
      <c r="LU23" s="141">
        <v>0.14499999999999999</v>
      </c>
      <c r="LV23" s="141">
        <v>0.13700000000000001</v>
      </c>
      <c r="LW23" s="141">
        <v>0.13800000000000001</v>
      </c>
      <c r="LX23" s="141">
        <v>0.13800000000000001</v>
      </c>
      <c r="LY23" s="141">
        <v>0.13800000000000001</v>
      </c>
      <c r="LZ23" s="141">
        <v>0.14000000000000001</v>
      </c>
      <c r="MA23" s="141">
        <v>0.14099999999999999</v>
      </c>
      <c r="MB23" s="141">
        <v>0.14099999999999999</v>
      </c>
      <c r="MC23" s="141">
        <v>0.13700000000000001</v>
      </c>
      <c r="MD23" s="141">
        <v>0.13700000000000001</v>
      </c>
      <c r="ME23" s="141">
        <v>0.13600000000000001</v>
      </c>
      <c r="MF23" s="141">
        <v>0.13600000000000001</v>
      </c>
      <c r="MG23" s="141">
        <v>0.13800000000000001</v>
      </c>
      <c r="MH23" s="141">
        <v>0.13900000000000001</v>
      </c>
      <c r="MI23" s="141">
        <v>0.14000000000000001</v>
      </c>
      <c r="MJ23" s="141">
        <v>0.13400000000000001</v>
      </c>
      <c r="MK23" s="141">
        <v>0.13300000000000001</v>
      </c>
      <c r="ML23" s="141">
        <v>0.13400000000000001</v>
      </c>
      <c r="MM23" s="141">
        <v>0.13400000000000001</v>
      </c>
      <c r="MN23" s="141">
        <v>0.13500000000000001</v>
      </c>
      <c r="MO23" s="141">
        <v>0.13600000000000001</v>
      </c>
      <c r="MP23" s="141">
        <v>0.13500000000000001</v>
      </c>
      <c r="MQ23" s="141">
        <v>0.128</v>
      </c>
      <c r="MR23" s="141">
        <v>0.128</v>
      </c>
      <c r="MS23" s="141">
        <v>0.129</v>
      </c>
      <c r="MT23" s="141">
        <v>0.13</v>
      </c>
      <c r="MU23" s="141">
        <v>0.13200000000000001</v>
      </c>
      <c r="MV23" s="141">
        <v>0.13200000000000001</v>
      </c>
      <c r="MW23" s="141">
        <v>0.13200000000000001</v>
      </c>
      <c r="MX23" s="141">
        <v>0.125</v>
      </c>
      <c r="MY23" s="141">
        <v>0.124</v>
      </c>
      <c r="MZ23" s="141">
        <v>0.126</v>
      </c>
      <c r="NA23" s="141">
        <v>0.123</v>
      </c>
      <c r="NB23" s="141">
        <v>0.127</v>
      </c>
      <c r="NC23" s="141">
        <v>0.128</v>
      </c>
      <c r="ND23" s="141">
        <v>0.128</v>
      </c>
      <c r="NE23" s="141">
        <v>0.123</v>
      </c>
      <c r="NF23" s="141">
        <v>0.122</v>
      </c>
      <c r="NG23" s="141">
        <v>0.123</v>
      </c>
      <c r="NH23" s="141">
        <v>0.122</v>
      </c>
      <c r="NI23" s="141">
        <v>0.125</v>
      </c>
      <c r="NJ23" s="141">
        <v>0.125</v>
      </c>
      <c r="NK23" s="141">
        <v>0.124</v>
      </c>
      <c r="NL23" s="141">
        <v>0.14299999999999999</v>
      </c>
      <c r="NM23" s="141">
        <v>0.14299999999999999</v>
      </c>
      <c r="NN23" s="141">
        <v>0.14199999999999999</v>
      </c>
      <c r="NO23" s="141">
        <v>0.14199999999999999</v>
      </c>
      <c r="NP23" s="141">
        <v>0.14399999999999999</v>
      </c>
      <c r="NQ23" s="141">
        <v>0.14399999999999999</v>
      </c>
      <c r="NR23" s="141">
        <v>0.14499999999999999</v>
      </c>
      <c r="NS23" s="141">
        <v>0.14499999999999999</v>
      </c>
      <c r="NT23" s="141">
        <v>0.14499999999999999</v>
      </c>
      <c r="NU23" s="141">
        <v>0.14399999999999999</v>
      </c>
      <c r="NV23" s="141">
        <v>0.14399999999999999</v>
      </c>
      <c r="NW23" s="141">
        <v>0.14499999999999999</v>
      </c>
      <c r="NX23" s="141">
        <v>0.14799999999999999</v>
      </c>
      <c r="NY23" s="141">
        <v>0.14699999999999999</v>
      </c>
      <c r="NZ23" s="141">
        <v>0.14399999999999999</v>
      </c>
      <c r="OA23" s="141">
        <v>0.14499999999999999</v>
      </c>
      <c r="OB23" s="141">
        <v>0.14299999999999999</v>
      </c>
      <c r="OC23" s="141">
        <v>0.14199999999999999</v>
      </c>
      <c r="OD23" s="141">
        <v>0.14499999999999999</v>
      </c>
      <c r="OE23" s="141">
        <v>0.14699999999999999</v>
      </c>
      <c r="OF23" s="141">
        <v>0.14599999999999999</v>
      </c>
      <c r="OG23" s="141">
        <v>0.14399999999999999</v>
      </c>
      <c r="OH23" s="141">
        <v>0.14399999999999999</v>
      </c>
      <c r="OI23" s="141">
        <v>0.14299999999999999</v>
      </c>
      <c r="OJ23" s="141">
        <v>0.14299999999999999</v>
      </c>
      <c r="OK23" s="141">
        <v>0.14499999999999999</v>
      </c>
      <c r="OL23" s="141">
        <v>0.14699999999999999</v>
      </c>
      <c r="OM23" s="141">
        <v>0.14599999999999999</v>
      </c>
      <c r="ON23" s="141">
        <v>0.14299999999999999</v>
      </c>
      <c r="OO23" s="141">
        <v>0.14299999999999999</v>
      </c>
      <c r="OP23" s="141">
        <v>0.14199999999999999</v>
      </c>
      <c r="OQ23" s="141">
        <v>0.14199999999999999</v>
      </c>
      <c r="OR23" s="141">
        <v>0.14399999999999999</v>
      </c>
      <c r="OS23" s="141">
        <v>0.14599999999999999</v>
      </c>
      <c r="OT23" s="141">
        <v>0.14599999999999999</v>
      </c>
      <c r="OU23" s="141">
        <v>0.14299999999999999</v>
      </c>
      <c r="OV23" s="141">
        <v>0.14299999999999999</v>
      </c>
      <c r="OW23" s="141">
        <v>0.14099999999999999</v>
      </c>
      <c r="OX23" s="141">
        <v>0.14099999999999999</v>
      </c>
      <c r="OY23" s="141">
        <v>0.14299999999999999</v>
      </c>
      <c r="OZ23" s="141">
        <v>0.14499999999999999</v>
      </c>
      <c r="PA23" s="141">
        <v>0.14399999999999999</v>
      </c>
      <c r="PB23" s="141">
        <v>0.13900000000000001</v>
      </c>
      <c r="PC23" s="141">
        <v>0.14099999999999999</v>
      </c>
      <c r="PD23" s="141">
        <v>0.13900000000000001</v>
      </c>
      <c r="PE23" s="141">
        <v>0.14000000000000001</v>
      </c>
      <c r="PF23" s="141">
        <v>0.14099999999999999</v>
      </c>
      <c r="PG23" s="141">
        <v>0.14299999999999999</v>
      </c>
      <c r="PH23" s="141">
        <v>0.14299999999999999</v>
      </c>
      <c r="PI23" s="141">
        <v>0.13900000000000001</v>
      </c>
      <c r="PJ23" s="141">
        <v>0.13800000000000001</v>
      </c>
      <c r="PK23" s="141">
        <v>0.13700000000000001</v>
      </c>
      <c r="PL23" s="141">
        <v>0.13700000000000001</v>
      </c>
      <c r="PM23" s="141">
        <v>0.13900000000000001</v>
      </c>
      <c r="PN23" s="141">
        <v>0.14099999999999999</v>
      </c>
      <c r="PO23" s="141">
        <v>0.14000000000000001</v>
      </c>
      <c r="PP23" s="141">
        <v>0.13700000000000001</v>
      </c>
      <c r="PQ23" s="141">
        <v>0.13700000000000001</v>
      </c>
      <c r="PR23" s="141">
        <v>0.13500000000000001</v>
      </c>
      <c r="PS23" s="141">
        <v>0.13600000000000001</v>
      </c>
      <c r="PT23" s="141">
        <v>0.13700000000000001</v>
      </c>
      <c r="PU23" s="141">
        <v>0.13900000000000001</v>
      </c>
      <c r="PV23" s="141">
        <v>0.13800000000000001</v>
      </c>
      <c r="PW23" s="141">
        <v>0.13600000000000001</v>
      </c>
      <c r="PX23" s="141">
        <v>0.13500000000000001</v>
      </c>
      <c r="PY23" s="141">
        <v>0.13200000000000001</v>
      </c>
      <c r="PZ23" s="141">
        <v>0.13300000000000001</v>
      </c>
      <c r="QA23" s="141">
        <v>0.13500000000000001</v>
      </c>
      <c r="QB23" s="141">
        <v>0.13700000000000001</v>
      </c>
      <c r="QC23" s="141">
        <v>0.13700000000000001</v>
      </c>
      <c r="QD23" s="141">
        <v>0.13100000000000001</v>
      </c>
      <c r="QE23" s="141">
        <v>0.13100000000000001</v>
      </c>
      <c r="QF23" s="141">
        <v>0.129</v>
      </c>
      <c r="QG23" s="141">
        <v>0.13</v>
      </c>
      <c r="QH23" s="141">
        <v>0.13100000000000001</v>
      </c>
      <c r="QI23" s="141">
        <v>0.13100000000000001</v>
      </c>
      <c r="QJ23" s="141">
        <v>0.13200000000000001</v>
      </c>
      <c r="QK23" s="141">
        <v>0.129</v>
      </c>
      <c r="QL23" s="141">
        <v>0.129</v>
      </c>
      <c r="QM23" s="141">
        <v>0.127</v>
      </c>
      <c r="QN23" s="141">
        <v>0.127</v>
      </c>
      <c r="QO23" s="141">
        <v>0.127</v>
      </c>
      <c r="QP23" s="141">
        <v>0.129</v>
      </c>
      <c r="QQ23" s="141">
        <v>0.129</v>
      </c>
      <c r="QR23" s="141">
        <v>0.161</v>
      </c>
      <c r="QS23" s="141">
        <v>0.17299999999999999</v>
      </c>
      <c r="QT23" s="141">
        <v>0.16800000000000001</v>
      </c>
      <c r="QU23" s="141">
        <v>0.159</v>
      </c>
      <c r="QV23" s="141">
        <v>0.157</v>
      </c>
      <c r="QW23" s="141">
        <v>0.156</v>
      </c>
      <c r="QX23" s="141">
        <v>0.154</v>
      </c>
      <c r="QY23" s="141">
        <v>0.16200000000000001</v>
      </c>
      <c r="QZ23" s="141">
        <v>0.161</v>
      </c>
      <c r="RA23" s="141">
        <v>0.158</v>
      </c>
      <c r="RB23" s="141">
        <v>0.157</v>
      </c>
      <c r="RC23" s="141">
        <v>0.156</v>
      </c>
      <c r="RD23" s="141">
        <v>0.158</v>
      </c>
      <c r="RE23" s="141">
        <v>0.154</v>
      </c>
      <c r="RF23" s="141">
        <v>0.16</v>
      </c>
      <c r="RG23" s="141">
        <v>0.158</v>
      </c>
      <c r="RH23" s="141">
        <v>0.155</v>
      </c>
      <c r="RI23" s="141">
        <v>0.156</v>
      </c>
      <c r="RJ23" s="141">
        <v>0.155</v>
      </c>
      <c r="RK23" s="141">
        <v>0.156</v>
      </c>
      <c r="RL23" s="141">
        <v>0.152</v>
      </c>
      <c r="RM23" s="141">
        <v>0.159</v>
      </c>
      <c r="RN23" s="141">
        <v>0.159</v>
      </c>
      <c r="RO23" s="141">
        <v>0.156</v>
      </c>
      <c r="RP23" s="141">
        <v>0.156</v>
      </c>
      <c r="RQ23" s="141">
        <v>0.155</v>
      </c>
      <c r="RR23" s="141">
        <v>0.156</v>
      </c>
      <c r="RS23" s="141">
        <v>0.153</v>
      </c>
      <c r="RT23" s="141">
        <v>0.159</v>
      </c>
      <c r="RU23" s="141">
        <v>0.158</v>
      </c>
      <c r="RV23" s="141">
        <v>0.155</v>
      </c>
      <c r="RW23" s="141">
        <v>0.155</v>
      </c>
      <c r="RX23" s="141">
        <v>0.154</v>
      </c>
      <c r="RY23" s="141">
        <v>0.154</v>
      </c>
      <c r="RZ23" s="141">
        <v>0.152</v>
      </c>
      <c r="SA23" s="141">
        <v>0.157</v>
      </c>
      <c r="SB23" s="141">
        <v>0.156</v>
      </c>
      <c r="SC23" s="141">
        <v>0.153</v>
      </c>
      <c r="SD23" s="141">
        <v>0.152</v>
      </c>
      <c r="SE23" s="141">
        <v>0.153</v>
      </c>
      <c r="SF23" s="141">
        <v>0.153</v>
      </c>
      <c r="SG23" s="141">
        <v>0.14899999999999999</v>
      </c>
      <c r="SH23" s="141">
        <v>0.156</v>
      </c>
      <c r="SI23" s="141">
        <v>0.155</v>
      </c>
      <c r="SJ23" s="141">
        <v>0.151</v>
      </c>
      <c r="SK23" s="141">
        <v>0.15</v>
      </c>
      <c r="SL23" s="141">
        <v>0.151</v>
      </c>
      <c r="SM23" s="141">
        <v>0.152</v>
      </c>
      <c r="SN23" s="141">
        <v>0.14799999999999999</v>
      </c>
      <c r="SO23" s="141">
        <v>0.155</v>
      </c>
      <c r="SP23" s="141">
        <v>0.153</v>
      </c>
      <c r="SQ23" s="141">
        <v>0.15</v>
      </c>
      <c r="SR23" s="141">
        <v>0.151</v>
      </c>
      <c r="SS23" s="141">
        <v>0.14899999999999999</v>
      </c>
      <c r="ST23" s="141">
        <v>0.15</v>
      </c>
      <c r="SU23" s="141">
        <v>0.14599999999999999</v>
      </c>
      <c r="SV23" s="141">
        <v>0.154</v>
      </c>
      <c r="SW23" s="141">
        <v>0.152</v>
      </c>
      <c r="SX23" s="141">
        <v>0.14799999999999999</v>
      </c>
      <c r="SY23" s="141">
        <v>0.15</v>
      </c>
      <c r="SZ23" s="141">
        <v>0.14899999999999999</v>
      </c>
      <c r="TA23" s="141">
        <v>0.151</v>
      </c>
      <c r="TB23" s="141">
        <v>0.14699999999999999</v>
      </c>
      <c r="TC23" s="141">
        <v>0.153</v>
      </c>
      <c r="TD23" s="141">
        <v>0.152</v>
      </c>
      <c r="TE23" s="141">
        <v>0.14799999999999999</v>
      </c>
      <c r="TF23" s="141">
        <v>0.14699999999999999</v>
      </c>
      <c r="TG23" s="141">
        <v>0.14699999999999999</v>
      </c>
      <c r="TH23" s="141">
        <v>0.14799999999999999</v>
      </c>
      <c r="TI23" s="141">
        <v>0.14399999999999999</v>
      </c>
      <c r="TJ23" s="141">
        <v>0.152</v>
      </c>
      <c r="TK23" s="141">
        <v>0.14899999999999999</v>
      </c>
      <c r="TL23" s="141">
        <v>0.14599999999999999</v>
      </c>
      <c r="TM23" s="141">
        <v>0.14399999999999999</v>
      </c>
      <c r="TN23" s="141">
        <v>0.14399999999999999</v>
      </c>
      <c r="TO23" s="141">
        <v>0.14499999999999999</v>
      </c>
      <c r="TP23" s="141">
        <v>0.14299999999999999</v>
      </c>
      <c r="TQ23" s="141">
        <v>0.151</v>
      </c>
      <c r="TR23" s="141">
        <v>0.14899999999999999</v>
      </c>
      <c r="TS23" s="141">
        <v>0.14499999999999999</v>
      </c>
      <c r="TT23" s="141">
        <v>0.14499999999999999</v>
      </c>
      <c r="TU23" s="141">
        <v>0.14399999999999999</v>
      </c>
      <c r="TV23" s="141">
        <v>0.14499999999999999</v>
      </c>
      <c r="TW23" s="141">
        <v>0.14099999999999999</v>
      </c>
      <c r="BXV23" s="142">
        <v>1</v>
      </c>
      <c r="BXW23" s="141" t="s">
        <v>155</v>
      </c>
      <c r="BXX23" s="141" t="s">
        <v>154</v>
      </c>
      <c r="BYA23" s="136">
        <v>0</v>
      </c>
      <c r="BYX23" s="141">
        <v>1</v>
      </c>
      <c r="BYY23" s="141">
        <v>7</v>
      </c>
      <c r="CAM23" s="141">
        <v>1</v>
      </c>
      <c r="CAN23" s="141">
        <v>7</v>
      </c>
      <c r="CAO23" s="141">
        <v>0.105</v>
      </c>
      <c r="CAP23" s="141">
        <v>0.01</v>
      </c>
      <c r="CAQ23" s="141">
        <v>0.09</v>
      </c>
    </row>
    <row r="24" spans="1:543 1998:2030 2067:2086">
      <c r="A24" s="139" t="s">
        <v>456</v>
      </c>
      <c r="B24" s="139">
        <v>1</v>
      </c>
      <c r="C24" s="139">
        <v>2</v>
      </c>
      <c r="D24" s="139">
        <v>9</v>
      </c>
      <c r="E24" s="139">
        <v>4</v>
      </c>
      <c r="F24" s="139" t="s">
        <v>445</v>
      </c>
      <c r="GY24" s="95" t="s">
        <v>457</v>
      </c>
      <c r="GZ24" s="141">
        <v>0.28799999999999998</v>
      </c>
      <c r="HA24" s="141">
        <v>0.28299999999999997</v>
      </c>
      <c r="HB24" s="141">
        <v>0.28599999999999998</v>
      </c>
      <c r="HC24" s="141">
        <v>0.29599999999999999</v>
      </c>
      <c r="HD24" s="141">
        <v>0.29299999999999998</v>
      </c>
      <c r="HE24" s="141">
        <v>0.29599999999999999</v>
      </c>
      <c r="HF24" s="141">
        <v>0.29599999999999999</v>
      </c>
      <c r="HG24" s="141">
        <v>0.29399999999999998</v>
      </c>
      <c r="HH24" s="141">
        <v>0.28899999999999998</v>
      </c>
      <c r="HI24" s="141">
        <v>0.28899999999999998</v>
      </c>
      <c r="HJ24" s="141">
        <v>0.28499999999999998</v>
      </c>
      <c r="HK24" s="141">
        <v>0.28899999999999998</v>
      </c>
      <c r="HL24" s="141">
        <v>0.29799999999999999</v>
      </c>
      <c r="HM24" s="141">
        <v>0.29699999999999999</v>
      </c>
      <c r="HN24" s="141">
        <v>0.30299999999999999</v>
      </c>
      <c r="HO24" s="141">
        <v>0.30199999999999999</v>
      </c>
      <c r="HP24" s="141">
        <v>0.29799999999999999</v>
      </c>
      <c r="HQ24" s="141">
        <v>0.29399999999999998</v>
      </c>
      <c r="HR24" s="141">
        <v>0.29199999999999998</v>
      </c>
      <c r="HS24" s="141">
        <v>0.28699999999999998</v>
      </c>
      <c r="HT24" s="141">
        <v>0.29199999999999998</v>
      </c>
      <c r="HU24" s="141">
        <v>0.30499999999999999</v>
      </c>
      <c r="HV24" s="141">
        <v>0.30199999999999999</v>
      </c>
      <c r="HW24" s="141">
        <v>0.30599999999999999</v>
      </c>
      <c r="HX24" s="141">
        <v>0.30599999999999999</v>
      </c>
      <c r="HY24" s="141">
        <v>0.30299999999999999</v>
      </c>
      <c r="HZ24" s="141">
        <v>0.29599999999999999</v>
      </c>
      <c r="IA24" s="141">
        <v>0.29199999999999998</v>
      </c>
      <c r="IB24" s="141">
        <v>0.28599999999999998</v>
      </c>
      <c r="IC24" s="141">
        <v>0.29299999999999998</v>
      </c>
      <c r="ID24" s="141">
        <v>0.30499999999999999</v>
      </c>
      <c r="IE24" s="141">
        <v>0.30299999999999999</v>
      </c>
      <c r="IF24" s="141">
        <v>0.307</v>
      </c>
      <c r="IG24" s="141">
        <v>0.309</v>
      </c>
      <c r="IH24" s="141">
        <v>0.30499999999999999</v>
      </c>
      <c r="II24" s="141">
        <v>0.30199999999999999</v>
      </c>
      <c r="BXV24" s="142">
        <v>1</v>
      </c>
      <c r="BXW24" s="141" t="s">
        <v>155</v>
      </c>
      <c r="BXX24" s="141" t="s">
        <v>154</v>
      </c>
      <c r="BYA24" s="136">
        <v>0</v>
      </c>
      <c r="BYD24" s="136">
        <v>0</v>
      </c>
      <c r="BYX24" s="141">
        <v>1</v>
      </c>
      <c r="BYY24" s="141">
        <v>1</v>
      </c>
      <c r="CAM24" s="141">
        <v>1</v>
      </c>
      <c r="CAN24" s="141">
        <v>1</v>
      </c>
      <c r="CAO24" s="141">
        <v>0</v>
      </c>
      <c r="CAP24" s="141">
        <v>0.01</v>
      </c>
      <c r="CAQ24" s="141">
        <v>0.23</v>
      </c>
    </row>
    <row r="25" spans="1:543 1998:2030 2067:2086">
      <c r="A25" s="139" t="s">
        <v>458</v>
      </c>
      <c r="B25" s="139">
        <v>2</v>
      </c>
      <c r="C25" s="139">
        <v>2</v>
      </c>
      <c r="D25" s="139">
        <v>5</v>
      </c>
      <c r="E25" s="139">
        <v>2</v>
      </c>
      <c r="F25" s="139" t="s">
        <v>445</v>
      </c>
      <c r="GY25" s="95" t="s">
        <v>457</v>
      </c>
      <c r="GZ25" s="141">
        <v>0.22700000000000001</v>
      </c>
      <c r="HA25" s="141">
        <v>0.23599999999999999</v>
      </c>
      <c r="HB25" s="141">
        <v>0.22700000000000001</v>
      </c>
      <c r="HC25" s="141">
        <v>0.22900000000000001</v>
      </c>
      <c r="HD25" s="141">
        <v>0.23400000000000001</v>
      </c>
      <c r="HE25" s="141">
        <v>0.24</v>
      </c>
      <c r="HF25" s="141">
        <v>0.23100000000000001</v>
      </c>
      <c r="HG25" s="141">
        <v>0.23899999999999999</v>
      </c>
      <c r="HH25" s="141">
        <v>0.22800000000000001</v>
      </c>
      <c r="HI25" s="141">
        <v>0.23899999999999999</v>
      </c>
      <c r="HJ25" s="141">
        <v>0.23300000000000001</v>
      </c>
      <c r="HK25" s="141">
        <v>0.23200000000000001</v>
      </c>
      <c r="HL25" s="141">
        <v>0.22700000000000001</v>
      </c>
      <c r="HM25" s="141">
        <v>0.22800000000000001</v>
      </c>
      <c r="HN25" s="141">
        <v>0.24099999999999999</v>
      </c>
      <c r="HO25" s="141">
        <v>0.23799999999999999</v>
      </c>
      <c r="HP25" s="141">
        <v>0.24099999999999999</v>
      </c>
      <c r="HQ25" s="141">
        <v>0.24199999999999999</v>
      </c>
      <c r="HR25" s="141">
        <v>0.23599999999999999</v>
      </c>
      <c r="HS25" s="141">
        <v>0.24299999999999999</v>
      </c>
      <c r="BXV25" s="142">
        <v>1</v>
      </c>
      <c r="BXW25" s="141" t="s">
        <v>155</v>
      </c>
      <c r="BXX25" s="141" t="s">
        <v>154</v>
      </c>
      <c r="BYA25" s="136">
        <v>0</v>
      </c>
      <c r="BYD25" s="136">
        <v>0</v>
      </c>
      <c r="BYX25" s="141">
        <v>2</v>
      </c>
      <c r="BYY25" s="141">
        <v>1</v>
      </c>
      <c r="BYZ25" s="141">
        <v>1</v>
      </c>
      <c r="CAM25" s="141">
        <v>1</v>
      </c>
      <c r="CAN25" s="141">
        <v>1</v>
      </c>
      <c r="CAO25" s="141">
        <v>0</v>
      </c>
      <c r="CAP25" s="141">
        <v>0.01</v>
      </c>
      <c r="CAQ25" s="141">
        <v>0.28000000000000003</v>
      </c>
      <c r="CAR25" s="141">
        <v>2</v>
      </c>
      <c r="CAS25" s="141">
        <v>2</v>
      </c>
      <c r="CAT25" s="141">
        <v>0</v>
      </c>
      <c r="CAU25" s="141">
        <v>0.01</v>
      </c>
      <c r="CAV25" s="141">
        <v>0.28000000000000003</v>
      </c>
    </row>
    <row r="26" spans="1:543 1998:2030 2067:2086">
      <c r="A26" s="139" t="s">
        <v>459</v>
      </c>
      <c r="B26" s="139">
        <v>2</v>
      </c>
      <c r="C26" s="139">
        <v>1</v>
      </c>
      <c r="D26" s="139">
        <v>10</v>
      </c>
      <c r="E26" s="139">
        <v>12</v>
      </c>
      <c r="F26" s="139" t="s">
        <v>423</v>
      </c>
      <c r="GY26" s="95" t="s">
        <v>460</v>
      </c>
      <c r="GZ26" s="141">
        <v>0.25</v>
      </c>
      <c r="HA26" s="141">
        <v>0.24299999999999999</v>
      </c>
      <c r="HB26" s="141">
        <v>0.249</v>
      </c>
      <c r="HC26" s="141">
        <v>0.246</v>
      </c>
      <c r="HD26" s="141">
        <v>0.26200000000000001</v>
      </c>
      <c r="HE26" s="141">
        <v>0.251</v>
      </c>
      <c r="HF26" s="141">
        <v>0.25900000000000001</v>
      </c>
      <c r="HG26" s="141">
        <v>0.255</v>
      </c>
      <c r="HH26" s="141">
        <v>0.26900000000000002</v>
      </c>
      <c r="HI26" s="141">
        <v>0.26500000000000001</v>
      </c>
      <c r="HJ26" s="141">
        <v>0.27300000000000002</v>
      </c>
      <c r="HK26" s="141">
        <v>0.27500000000000002</v>
      </c>
      <c r="HL26" s="141">
        <v>0.28000000000000003</v>
      </c>
      <c r="HM26" s="141">
        <v>0.27600000000000002</v>
      </c>
      <c r="HN26" s="141">
        <v>0.28100000000000003</v>
      </c>
      <c r="HO26" s="141">
        <v>0.28000000000000003</v>
      </c>
      <c r="HP26" s="141">
        <v>0.28899999999999998</v>
      </c>
      <c r="HQ26" s="141">
        <v>0.28499999999999998</v>
      </c>
      <c r="HR26" s="141">
        <v>0.29699999999999999</v>
      </c>
      <c r="HS26" s="141">
        <v>0.29199999999999998</v>
      </c>
      <c r="HT26" s="141">
        <v>0.23699999999999999</v>
      </c>
      <c r="HU26" s="141">
        <v>0.23200000000000001</v>
      </c>
      <c r="HV26" s="141">
        <v>0.24099999999999999</v>
      </c>
      <c r="HW26" s="141">
        <v>0.23599999999999999</v>
      </c>
      <c r="HX26" s="141">
        <v>0.246</v>
      </c>
      <c r="HY26" s="141">
        <v>0.24399999999999999</v>
      </c>
      <c r="HZ26" s="141">
        <v>0.254</v>
      </c>
      <c r="IA26" s="141">
        <v>0.248</v>
      </c>
      <c r="IB26" s="141">
        <v>0.26</v>
      </c>
      <c r="IC26" s="141">
        <v>0.255</v>
      </c>
      <c r="ID26" s="141">
        <v>0.26600000000000001</v>
      </c>
      <c r="IE26" s="141">
        <v>0.26200000000000001</v>
      </c>
      <c r="IF26" s="141">
        <v>0.27300000000000002</v>
      </c>
      <c r="IG26" s="141">
        <v>0.26800000000000002</v>
      </c>
      <c r="IH26" s="141">
        <v>0.27500000000000002</v>
      </c>
      <c r="II26" s="141">
        <v>0.27300000000000002</v>
      </c>
      <c r="IJ26" s="141">
        <v>0.28199999999999997</v>
      </c>
      <c r="IK26" s="141">
        <v>0.27700000000000002</v>
      </c>
      <c r="IL26" s="141">
        <v>0.28799999999999998</v>
      </c>
      <c r="IM26" s="141">
        <v>0.28499999999999998</v>
      </c>
      <c r="IN26" s="141">
        <v>0.22700000000000001</v>
      </c>
      <c r="IO26" s="141">
        <v>0.224</v>
      </c>
      <c r="IP26" s="141">
        <v>0.23100000000000001</v>
      </c>
      <c r="IQ26" s="141">
        <v>0.22800000000000001</v>
      </c>
      <c r="IR26" s="141">
        <v>0.23699999999999999</v>
      </c>
      <c r="IS26" s="141">
        <v>0.23599999999999999</v>
      </c>
      <c r="IT26" s="141">
        <v>0.245</v>
      </c>
      <c r="IU26" s="141">
        <v>0.24199999999999999</v>
      </c>
      <c r="IV26" s="141">
        <v>0.253</v>
      </c>
      <c r="IW26" s="141">
        <v>0.251</v>
      </c>
      <c r="IX26" s="141">
        <v>0.25900000000000001</v>
      </c>
      <c r="IY26" s="141">
        <v>0.255</v>
      </c>
      <c r="IZ26" s="141">
        <v>0.26600000000000001</v>
      </c>
      <c r="JA26" s="141">
        <v>0.26300000000000001</v>
      </c>
      <c r="JB26" s="141">
        <v>0.26800000000000002</v>
      </c>
      <c r="JC26" s="141">
        <v>0.26700000000000002</v>
      </c>
      <c r="JD26" s="141">
        <v>0.27500000000000002</v>
      </c>
      <c r="JE26" s="141">
        <v>0.27200000000000002</v>
      </c>
      <c r="JF26" s="141">
        <v>0.27900000000000003</v>
      </c>
      <c r="JG26" s="141">
        <v>0.27800000000000002</v>
      </c>
      <c r="JH26" s="141">
        <v>0.22</v>
      </c>
      <c r="JI26" s="141">
        <v>0.216</v>
      </c>
      <c r="JJ26" s="141">
        <v>0.224</v>
      </c>
      <c r="JK26" s="141">
        <v>0.22</v>
      </c>
      <c r="JL26" s="141">
        <v>0.23</v>
      </c>
      <c r="JM26" s="141">
        <v>0.23200000000000001</v>
      </c>
      <c r="JN26" s="141">
        <v>0.23799999999999999</v>
      </c>
      <c r="JO26" s="141">
        <v>0.23400000000000001</v>
      </c>
      <c r="JP26" s="141">
        <v>0.24399999999999999</v>
      </c>
      <c r="JQ26" s="141">
        <v>0.24099999999999999</v>
      </c>
      <c r="JR26" s="141">
        <v>0.251</v>
      </c>
      <c r="JS26" s="141">
        <v>0.248</v>
      </c>
      <c r="JT26" s="141">
        <v>0.255</v>
      </c>
      <c r="JU26" s="141">
        <v>0.254</v>
      </c>
      <c r="JV26" s="141">
        <v>0.26</v>
      </c>
      <c r="JW26" s="141">
        <v>0.25800000000000001</v>
      </c>
      <c r="JX26" s="141">
        <v>0.26600000000000001</v>
      </c>
      <c r="JY26" s="141">
        <v>0.26100000000000001</v>
      </c>
      <c r="JZ26" s="141">
        <v>0.27100000000000002</v>
      </c>
      <c r="KA26" s="141">
        <v>0.26900000000000002</v>
      </c>
      <c r="KB26" s="141">
        <v>0.21199999999999999</v>
      </c>
      <c r="KC26" s="141">
        <v>0.20799999999999999</v>
      </c>
      <c r="KD26" s="141">
        <v>0.215</v>
      </c>
      <c r="KE26" s="141">
        <v>0.21099999999999999</v>
      </c>
      <c r="KF26" s="141">
        <v>0.224</v>
      </c>
      <c r="KG26" s="141">
        <v>0.219</v>
      </c>
      <c r="KH26" s="141">
        <v>0.22800000000000001</v>
      </c>
      <c r="KI26" s="141">
        <v>0.224</v>
      </c>
      <c r="KJ26" s="141">
        <v>0.23599999999999999</v>
      </c>
      <c r="KK26" s="141">
        <v>0.23300000000000001</v>
      </c>
      <c r="KL26" s="141">
        <v>0.24299999999999999</v>
      </c>
      <c r="KM26" s="141">
        <v>0.23899999999999999</v>
      </c>
      <c r="KN26" s="141">
        <v>0.25</v>
      </c>
      <c r="KO26" s="141">
        <v>0.246</v>
      </c>
      <c r="KP26" s="141">
        <v>0.254</v>
      </c>
      <c r="KQ26" s="141">
        <v>0.25</v>
      </c>
      <c r="KR26" s="141">
        <v>0.25800000000000001</v>
      </c>
      <c r="KS26" s="141">
        <v>0.254</v>
      </c>
      <c r="KT26" s="141">
        <v>0.26400000000000001</v>
      </c>
      <c r="KU26" s="141">
        <v>0.26</v>
      </c>
      <c r="KV26" s="141">
        <v>0.20499999999999999</v>
      </c>
      <c r="KW26" s="141">
        <v>0.20499999999999999</v>
      </c>
      <c r="KX26" s="141">
        <v>0.20799999999999999</v>
      </c>
      <c r="KY26" s="141">
        <v>0.20899999999999999</v>
      </c>
      <c r="KZ26" s="141">
        <v>0.215</v>
      </c>
      <c r="LA26" s="141">
        <v>0.216</v>
      </c>
      <c r="LB26" s="141">
        <v>0.219</v>
      </c>
      <c r="LC26" s="141">
        <v>0.22</v>
      </c>
      <c r="LD26" s="141">
        <v>0.22800000000000001</v>
      </c>
      <c r="LE26" s="141">
        <v>0.22800000000000001</v>
      </c>
      <c r="LF26" s="141">
        <v>0.23400000000000001</v>
      </c>
      <c r="LG26" s="141">
        <v>0.23499999999999999</v>
      </c>
      <c r="LH26" s="141">
        <v>0.24099999999999999</v>
      </c>
      <c r="LI26" s="141">
        <v>0.24099999999999999</v>
      </c>
      <c r="LJ26" s="141">
        <v>0.245</v>
      </c>
      <c r="LK26" s="141">
        <v>0.245</v>
      </c>
      <c r="LL26" s="141">
        <v>0.25</v>
      </c>
      <c r="LM26" s="141">
        <v>0.251</v>
      </c>
      <c r="LN26" s="141">
        <v>0.255</v>
      </c>
      <c r="LO26" s="141">
        <v>0.25700000000000001</v>
      </c>
      <c r="LP26" s="141">
        <v>0.20599999999999999</v>
      </c>
      <c r="LQ26" s="141">
        <v>0.20499999999999999</v>
      </c>
      <c r="LR26" s="141">
        <v>0.20799999999999999</v>
      </c>
      <c r="LS26" s="141">
        <v>0.20799999999999999</v>
      </c>
      <c r="LT26" s="141">
        <v>0.215</v>
      </c>
      <c r="LU26" s="141">
        <v>0.214</v>
      </c>
      <c r="LV26" s="141">
        <v>0.219</v>
      </c>
      <c r="LW26" s="141">
        <v>0.22</v>
      </c>
      <c r="LX26" s="141">
        <v>0.22600000000000001</v>
      </c>
      <c r="LY26" s="141">
        <v>0.22500000000000001</v>
      </c>
      <c r="LZ26" s="141">
        <v>0.23300000000000001</v>
      </c>
      <c r="MA26" s="141">
        <v>0.23400000000000001</v>
      </c>
      <c r="MB26" s="141">
        <v>0.24</v>
      </c>
      <c r="MC26" s="141">
        <v>0.23899999999999999</v>
      </c>
      <c r="MD26" s="141">
        <v>0.24399999999999999</v>
      </c>
      <c r="ME26" s="141">
        <v>0.24399999999999999</v>
      </c>
      <c r="MF26" s="141">
        <v>0.25</v>
      </c>
      <c r="MG26" s="141">
        <v>0.249</v>
      </c>
      <c r="MH26" s="141">
        <v>0.25600000000000001</v>
      </c>
      <c r="MI26" s="141">
        <v>0.25600000000000001</v>
      </c>
      <c r="MJ26" s="141">
        <v>0.20399999999999999</v>
      </c>
      <c r="MK26" s="141">
        <v>0.20100000000000001</v>
      </c>
      <c r="ML26" s="141">
        <v>0.20599999999999999</v>
      </c>
      <c r="MM26" s="141">
        <v>0.20300000000000001</v>
      </c>
      <c r="MN26" s="141">
        <v>0.21199999999999999</v>
      </c>
      <c r="MO26" s="141">
        <v>0.20899999999999999</v>
      </c>
      <c r="MP26" s="141">
        <v>0.217</v>
      </c>
      <c r="MQ26" s="141">
        <v>0.21199999999999999</v>
      </c>
      <c r="MR26" s="141">
        <v>0.223</v>
      </c>
      <c r="MS26" s="141">
        <v>0.221</v>
      </c>
      <c r="MT26" s="141">
        <v>0.23</v>
      </c>
      <c r="MU26" s="141">
        <v>0.22600000000000001</v>
      </c>
      <c r="MV26" s="141">
        <v>0.23699999999999999</v>
      </c>
      <c r="MW26" s="141">
        <v>0.23200000000000001</v>
      </c>
      <c r="MX26" s="141">
        <v>0.24199999999999999</v>
      </c>
      <c r="MY26" s="141">
        <v>0.23699999999999999</v>
      </c>
      <c r="MZ26" s="141">
        <v>0.247</v>
      </c>
      <c r="NA26" s="141">
        <v>0.24299999999999999</v>
      </c>
      <c r="NB26" s="141">
        <v>0.253</v>
      </c>
      <c r="NC26" s="141">
        <v>0.248</v>
      </c>
      <c r="ND26" s="141">
        <v>0.192</v>
      </c>
      <c r="NE26" s="141">
        <v>0.19700000000000001</v>
      </c>
      <c r="NF26" s="141">
        <v>0.19800000000000001</v>
      </c>
      <c r="NG26" s="141">
        <v>0.2</v>
      </c>
      <c r="NH26" s="141">
        <v>0.19800000000000001</v>
      </c>
      <c r="NI26" s="141">
        <v>0.20499999999999999</v>
      </c>
      <c r="NJ26" s="141">
        <v>0.20599999999999999</v>
      </c>
      <c r="NK26" s="141">
        <v>0.21</v>
      </c>
      <c r="NL26" s="141">
        <v>0.21099999999999999</v>
      </c>
      <c r="NM26" s="141">
        <v>0.21299999999999999</v>
      </c>
      <c r="NN26" s="141">
        <v>0.219</v>
      </c>
      <c r="NO26" s="141">
        <v>0.221</v>
      </c>
      <c r="NP26" s="141">
        <v>0.223</v>
      </c>
      <c r="NQ26" s="141">
        <v>0.224</v>
      </c>
      <c r="NR26" s="141">
        <v>0.23</v>
      </c>
      <c r="NS26" s="141">
        <v>0.23300000000000001</v>
      </c>
      <c r="NT26" s="141">
        <v>0.23400000000000001</v>
      </c>
      <c r="NU26" s="141">
        <v>0.23799999999999999</v>
      </c>
      <c r="NV26" s="141">
        <v>0.24299999999999999</v>
      </c>
      <c r="NW26" s="141">
        <v>0.246</v>
      </c>
      <c r="NX26" s="141">
        <v>0.20599999999999999</v>
      </c>
      <c r="NY26" s="141">
        <v>0.21099999999999999</v>
      </c>
      <c r="NZ26" s="141">
        <v>0.20699999999999999</v>
      </c>
      <c r="OA26" s="141">
        <v>0.21299999999999999</v>
      </c>
      <c r="OB26" s="141">
        <v>0.21199999999999999</v>
      </c>
      <c r="OC26" s="141">
        <v>0.217</v>
      </c>
      <c r="OD26" s="141">
        <v>0.216</v>
      </c>
      <c r="OE26" s="141">
        <v>0.217</v>
      </c>
      <c r="OF26" s="141">
        <v>0.221</v>
      </c>
      <c r="OG26" s="141">
        <v>0.22600000000000001</v>
      </c>
      <c r="OH26" s="141">
        <v>0.22600000000000001</v>
      </c>
      <c r="OI26" s="141">
        <v>0.22900000000000001</v>
      </c>
      <c r="OJ26" s="141">
        <v>0.23100000000000001</v>
      </c>
      <c r="OK26" s="141">
        <v>0.23499999999999999</v>
      </c>
      <c r="OL26" s="141">
        <v>0.23699999999999999</v>
      </c>
      <c r="OM26" s="141">
        <v>0.24199999999999999</v>
      </c>
      <c r="ON26" s="141">
        <v>0.245</v>
      </c>
      <c r="OO26" s="141">
        <v>0.248</v>
      </c>
      <c r="OP26" s="141">
        <v>0.252</v>
      </c>
      <c r="OQ26" s="141">
        <v>0.255</v>
      </c>
      <c r="OR26" s="141">
        <v>0.219</v>
      </c>
      <c r="OS26" s="141">
        <v>0.221</v>
      </c>
      <c r="OT26" s="141">
        <v>0.221</v>
      </c>
      <c r="OU26" s="141">
        <v>0.222</v>
      </c>
      <c r="OV26" s="141">
        <v>0.224</v>
      </c>
      <c r="OW26" s="141">
        <v>0.22600000000000001</v>
      </c>
      <c r="OX26" s="141">
        <v>0.222</v>
      </c>
      <c r="OY26" s="141">
        <v>0.22600000000000001</v>
      </c>
      <c r="OZ26" s="141">
        <v>0.22900000000000001</v>
      </c>
      <c r="PA26" s="141">
        <v>0.22900000000000001</v>
      </c>
      <c r="PB26" s="141">
        <v>0.23200000000000001</v>
      </c>
      <c r="PC26" s="141">
        <v>0.23200000000000001</v>
      </c>
      <c r="PD26" s="141">
        <v>0.23899999999999999</v>
      </c>
      <c r="PE26" s="141">
        <v>0.23799999999999999</v>
      </c>
      <c r="PF26" s="141">
        <v>0.24399999999999999</v>
      </c>
      <c r="PG26" s="141">
        <v>0.245</v>
      </c>
      <c r="PH26" s="141">
        <v>0.252</v>
      </c>
      <c r="PI26" s="141">
        <v>0.25</v>
      </c>
      <c r="PJ26" s="141">
        <v>0.26</v>
      </c>
      <c r="PK26" s="141">
        <v>0.26</v>
      </c>
      <c r="PL26" s="141">
        <v>0.22600000000000001</v>
      </c>
      <c r="PM26" s="141">
        <v>0.22900000000000001</v>
      </c>
      <c r="PN26" s="141">
        <v>0.22500000000000001</v>
      </c>
      <c r="PO26" s="141">
        <v>0.22800000000000001</v>
      </c>
      <c r="PP26" s="141">
        <v>0.22600000000000001</v>
      </c>
      <c r="PQ26" s="141">
        <v>0.22600000000000001</v>
      </c>
      <c r="PR26" s="141">
        <v>0.22600000000000001</v>
      </c>
      <c r="PS26" s="141">
        <v>0.22600000000000001</v>
      </c>
      <c r="PT26" s="141">
        <v>0.22900000000000001</v>
      </c>
      <c r="PU26" s="141">
        <v>0.22700000000000001</v>
      </c>
      <c r="PV26" s="141">
        <v>0.23100000000000001</v>
      </c>
      <c r="PW26" s="141">
        <v>0.23100000000000001</v>
      </c>
      <c r="PX26" s="141">
        <v>0.23599999999999999</v>
      </c>
      <c r="PY26" s="141">
        <v>0.23400000000000001</v>
      </c>
      <c r="PZ26" s="141">
        <v>0.24099999999999999</v>
      </c>
      <c r="QA26" s="141">
        <v>0.23799999999999999</v>
      </c>
      <c r="QB26" s="141">
        <v>0.248</v>
      </c>
      <c r="QC26" s="141">
        <v>0.246</v>
      </c>
      <c r="QD26" s="141">
        <v>0.25800000000000001</v>
      </c>
      <c r="QE26" s="141">
        <v>0.255</v>
      </c>
      <c r="BXV26" s="142">
        <v>1</v>
      </c>
      <c r="BXW26" s="141" t="s">
        <v>155</v>
      </c>
      <c r="BXX26" s="141" t="s">
        <v>154</v>
      </c>
      <c r="BYA26" s="136">
        <v>0</v>
      </c>
      <c r="BYX26" s="141">
        <v>1</v>
      </c>
      <c r="BYY26" s="141">
        <v>2</v>
      </c>
      <c r="CAM26" s="141">
        <v>1</v>
      </c>
      <c r="CAN26" s="141">
        <v>2</v>
      </c>
      <c r="CAO26" s="141">
        <v>0.11</v>
      </c>
      <c r="CAP26" s="141">
        <v>0.01</v>
      </c>
      <c r="CAQ26" s="141">
        <v>0.09</v>
      </c>
    </row>
    <row r="27" spans="1:543 1998:2030 2067:2086">
      <c r="GY27" s="95"/>
    </row>
    <row r="28" spans="1:543 1998:2030 2067:2086">
      <c r="GY28" s="95"/>
    </row>
    <row r="29" spans="1:543 1998:2030 2067:2086">
      <c r="GY29" s="95"/>
    </row>
    <row r="30" spans="1:543 1998:2030 2067:2086">
      <c r="GY30" s="95"/>
    </row>
    <row r="31" spans="1:543 1998:2030 2067:2086">
      <c r="GY31" s="95"/>
    </row>
    <row r="32" spans="1:543 1998:2030 2067:2086">
      <c r="GY32" s="95"/>
    </row>
    <row r="33" spans="207:207">
      <c r="GY33" s="95"/>
    </row>
    <row r="34" spans="207:207">
      <c r="GY34" s="95"/>
    </row>
    <row r="35" spans="207:207">
      <c r="GY35" s="95"/>
    </row>
    <row r="36" spans="207:207">
      <c r="GY36" s="95"/>
    </row>
    <row r="37" spans="207:207">
      <c r="GY37" s="95"/>
    </row>
    <row r="38" spans="207:207">
      <c r="GY38" s="95"/>
    </row>
    <row r="39" spans="207:207">
      <c r="GY39" s="95"/>
    </row>
    <row r="40" spans="207:207">
      <c r="GY40" s="95"/>
    </row>
    <row r="41" spans="207:207">
      <c r="GY41" s="95"/>
    </row>
    <row r="42" spans="207:207">
      <c r="GY42" s="95"/>
    </row>
    <row r="43" spans="207:207">
      <c r="GY43" s="95"/>
    </row>
    <row r="44" spans="207:207">
      <c r="GY44" s="95"/>
    </row>
    <row r="45" spans="207:207">
      <c r="GY45" s="95"/>
    </row>
    <row r="46" spans="207:207">
      <c r="GY46" s="95"/>
    </row>
    <row r="47" spans="207:207">
      <c r="GY47" s="95"/>
    </row>
    <row r="48" spans="207:207">
      <c r="GY48" s="95"/>
    </row>
    <row r="49" spans="207:207">
      <c r="GY49" s="95"/>
    </row>
    <row r="50" spans="207:207">
      <c r="GY50" s="95"/>
    </row>
    <row r="51" spans="207:207">
      <c r="GY51" s="95"/>
    </row>
    <row r="52" spans="207:207">
      <c r="GY52" s="95"/>
    </row>
    <row r="53" spans="207:207">
      <c r="GY53" s="95"/>
    </row>
  </sheetData>
  <sheetProtection password="CCA1" sheet="1" objects="1" scenarios="1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1048575"/>
  <sheetViews>
    <sheetView showGridLines="0" topLeftCell="HG1" zoomScale="70" zoomScaleNormal="70" workbookViewId="0">
      <selection activeCell="HW2" sqref="HW2:IH2"/>
    </sheetView>
  </sheetViews>
  <sheetFormatPr defaultColWidth="6.7109375" defaultRowHeight="15"/>
  <cols>
    <col min="1" max="1" width="23" style="131" customWidth="1"/>
    <col min="2" max="2" width="12.7109375" style="131" customWidth="1"/>
    <col min="3" max="3" width="16.5703125" style="132" customWidth="1"/>
    <col min="4" max="7" width="14" style="131" customWidth="1"/>
    <col min="8" max="31" width="10.5703125" style="137" customWidth="1"/>
    <col min="32" max="43" width="10.5703125" style="131" customWidth="1"/>
    <col min="44" max="54" width="10.42578125" style="131" customWidth="1"/>
    <col min="55" max="55" width="12.5703125" style="131" customWidth="1"/>
    <col min="56" max="56" width="20.5703125" style="131" bestFit="1" customWidth="1"/>
    <col min="57" max="64" width="14.28515625" style="134" customWidth="1"/>
    <col min="65" max="65" width="29" style="131" bestFit="1" customWidth="1"/>
    <col min="66" max="66" width="34.5703125" style="131" bestFit="1" customWidth="1"/>
    <col min="67" max="67" width="45" style="131" bestFit="1" customWidth="1"/>
    <col min="68" max="68" width="6.7109375" style="131"/>
    <col min="69" max="69" width="19.28515625" style="131" bestFit="1" customWidth="1"/>
    <col min="70" max="70" width="9.42578125" style="131" customWidth="1"/>
    <col min="71" max="226" width="6.7109375" style="131"/>
    <col min="227" max="227" width="45.85546875" style="131" bestFit="1" customWidth="1"/>
    <col min="228" max="229" width="17.28515625" style="131" customWidth="1"/>
    <col min="230" max="230" width="24.28515625" style="131" customWidth="1"/>
    <col min="231" max="731" width="6.7109375" style="131"/>
    <col min="732" max="743" width="21" style="138" customWidth="1"/>
    <col min="744" max="748" width="17.42578125" style="131" bestFit="1" customWidth="1"/>
    <col min="749" max="749" width="18.85546875" style="131" customWidth="1"/>
    <col min="750" max="16380" width="6.7109375" style="131"/>
    <col min="16381" max="16381" width="7.140625" style="131" customWidth="1"/>
    <col min="16382" max="16384" width="12.42578125" style="131" customWidth="1"/>
  </cols>
  <sheetData>
    <row r="1" spans="1:743 16382:16384">
      <c r="A1" s="131" t="s">
        <v>0</v>
      </c>
      <c r="B1" s="131" t="s">
        <v>38</v>
      </c>
      <c r="C1" s="132" t="s">
        <v>39</v>
      </c>
      <c r="D1" s="131" t="s">
        <v>43</v>
      </c>
      <c r="E1" s="131" t="s">
        <v>44</v>
      </c>
      <c r="F1" s="131" t="s">
        <v>32</v>
      </c>
      <c r="G1" s="131" t="s">
        <v>494</v>
      </c>
      <c r="H1" s="131" t="s">
        <v>92</v>
      </c>
      <c r="I1" s="131" t="s">
        <v>93</v>
      </c>
      <c r="J1" s="131" t="s">
        <v>94</v>
      </c>
      <c r="K1" s="131" t="s">
        <v>95</v>
      </c>
      <c r="L1" s="131" t="s">
        <v>96</v>
      </c>
      <c r="M1" s="131" t="s">
        <v>97</v>
      </c>
      <c r="N1" s="131" t="s">
        <v>126</v>
      </c>
      <c r="O1" s="131" t="s">
        <v>98</v>
      </c>
      <c r="P1" s="131" t="s">
        <v>99</v>
      </c>
      <c r="Q1" s="131" t="s">
        <v>100</v>
      </c>
      <c r="R1" s="131" t="s">
        <v>101</v>
      </c>
      <c r="S1" s="131" t="s">
        <v>102</v>
      </c>
      <c r="T1" s="133" t="s">
        <v>143</v>
      </c>
      <c r="U1" s="131" t="s">
        <v>103</v>
      </c>
      <c r="V1" s="131" t="s">
        <v>104</v>
      </c>
      <c r="W1" s="131" t="s">
        <v>105</v>
      </c>
      <c r="X1" s="131" t="s">
        <v>106</v>
      </c>
      <c r="Y1" s="131" t="s">
        <v>107</v>
      </c>
      <c r="Z1" s="133" t="s">
        <v>127</v>
      </c>
      <c r="AA1" s="131" t="s">
        <v>108</v>
      </c>
      <c r="AB1" s="131" t="s">
        <v>109</v>
      </c>
      <c r="AC1" s="131" t="s">
        <v>110</v>
      </c>
      <c r="AD1" s="131" t="s">
        <v>111</v>
      </c>
      <c r="AE1" s="131" t="s">
        <v>112</v>
      </c>
      <c r="AF1" s="133" t="s">
        <v>86</v>
      </c>
      <c r="AG1" s="131" t="s">
        <v>87</v>
      </c>
      <c r="AH1" s="131" t="s">
        <v>88</v>
      </c>
      <c r="AI1" s="131" t="s">
        <v>89</v>
      </c>
      <c r="AJ1" s="131" t="s">
        <v>90</v>
      </c>
      <c r="AK1" s="131" t="s">
        <v>91</v>
      </c>
      <c r="AL1" s="133" t="s">
        <v>120</v>
      </c>
      <c r="AM1" s="131" t="s">
        <v>121</v>
      </c>
      <c r="AN1" s="131" t="s">
        <v>122</v>
      </c>
      <c r="AO1" s="131" t="s">
        <v>123</v>
      </c>
      <c r="AP1" s="131" t="s">
        <v>124</v>
      </c>
      <c r="AQ1" s="131" t="s">
        <v>125</v>
      </c>
      <c r="AR1" s="131" t="s">
        <v>128</v>
      </c>
      <c r="AS1" s="131" t="s">
        <v>47</v>
      </c>
      <c r="AT1" s="131" t="s">
        <v>48</v>
      </c>
      <c r="AU1" s="131" t="s">
        <v>49</v>
      </c>
      <c r="AV1" s="131" t="s">
        <v>50</v>
      </c>
      <c r="AW1" s="131" t="s">
        <v>113</v>
      </c>
      <c r="AX1" s="131" t="s">
        <v>114</v>
      </c>
      <c r="AY1" s="131" t="s">
        <v>115</v>
      </c>
      <c r="AZ1" s="131" t="s">
        <v>116</v>
      </c>
      <c r="BA1" s="131" t="s">
        <v>117</v>
      </c>
      <c r="BB1" s="131" t="s">
        <v>118</v>
      </c>
      <c r="BC1" s="131" t="s">
        <v>119</v>
      </c>
      <c r="BD1" s="133" t="s">
        <v>23</v>
      </c>
      <c r="BE1" s="134" t="s">
        <v>24</v>
      </c>
      <c r="BF1" s="134" t="s">
        <v>25</v>
      </c>
      <c r="BG1" s="134" t="s">
        <v>26</v>
      </c>
      <c r="BH1" s="134" t="s">
        <v>27</v>
      </c>
      <c r="BI1" s="134" t="s">
        <v>28</v>
      </c>
      <c r="BJ1" s="134" t="s">
        <v>29</v>
      </c>
      <c r="BK1" s="134" t="s">
        <v>30</v>
      </c>
      <c r="BL1" s="134" t="s">
        <v>31</v>
      </c>
      <c r="BM1" s="133" t="s">
        <v>142</v>
      </c>
      <c r="BN1" s="131" t="s">
        <v>41</v>
      </c>
      <c r="BO1" s="131" t="s">
        <v>40</v>
      </c>
      <c r="BQ1" s="131" t="s">
        <v>42</v>
      </c>
      <c r="BS1" s="131" t="s">
        <v>129</v>
      </c>
      <c r="CF1" s="131" t="s">
        <v>130</v>
      </c>
      <c r="CS1" s="131" t="s">
        <v>131</v>
      </c>
      <c r="DF1" s="131" t="s">
        <v>132</v>
      </c>
      <c r="DS1" s="131" t="s">
        <v>133</v>
      </c>
      <c r="EF1" s="131" t="s">
        <v>134</v>
      </c>
      <c r="ES1" s="131" t="s">
        <v>135</v>
      </c>
      <c r="FF1" s="131" t="s">
        <v>136</v>
      </c>
      <c r="FS1" s="131" t="s">
        <v>137</v>
      </c>
      <c r="GF1" s="131" t="s">
        <v>138</v>
      </c>
      <c r="GS1" s="131" t="s">
        <v>139</v>
      </c>
      <c r="HF1" s="131" t="s">
        <v>140</v>
      </c>
      <c r="HS1" s="131" t="s">
        <v>141</v>
      </c>
      <c r="HT1" s="131" t="s">
        <v>147</v>
      </c>
      <c r="HU1" s="131" t="s">
        <v>406</v>
      </c>
      <c r="HV1" s="131" t="s">
        <v>146</v>
      </c>
      <c r="HW1" s="131">
        <v>1</v>
      </c>
      <c r="HX1" s="131">
        <v>2</v>
      </c>
      <c r="HY1" s="131">
        <v>3</v>
      </c>
      <c r="HZ1" s="131">
        <v>4</v>
      </c>
      <c r="IA1" s="131">
        <v>5</v>
      </c>
      <c r="IB1" s="131">
        <v>6</v>
      </c>
      <c r="IC1" s="131">
        <v>7</v>
      </c>
      <c r="ID1" s="131">
        <v>8</v>
      </c>
      <c r="IE1" s="131">
        <v>9</v>
      </c>
      <c r="IF1" s="131">
        <v>10</v>
      </c>
      <c r="IG1" s="131">
        <v>11</v>
      </c>
      <c r="IH1" s="131">
        <v>12</v>
      </c>
      <c r="II1" s="131">
        <v>13</v>
      </c>
      <c r="IJ1" s="131">
        <v>14</v>
      </c>
      <c r="IK1" s="131">
        <v>15</v>
      </c>
      <c r="IL1" s="131">
        <v>16</v>
      </c>
      <c r="IM1" s="131">
        <v>17</v>
      </c>
      <c r="IN1" s="131">
        <v>18</v>
      </c>
      <c r="IO1" s="131">
        <v>19</v>
      </c>
      <c r="IP1" s="131">
        <v>20</v>
      </c>
      <c r="IQ1" s="131">
        <v>21</v>
      </c>
      <c r="IR1" s="131">
        <v>22</v>
      </c>
      <c r="IS1" s="131">
        <v>23</v>
      </c>
      <c r="IT1" s="131">
        <v>24</v>
      </c>
      <c r="IU1" s="131">
        <v>25</v>
      </c>
      <c r="IV1" s="131">
        <v>26</v>
      </c>
      <c r="IW1" s="131">
        <v>27</v>
      </c>
      <c r="IX1" s="131">
        <v>28</v>
      </c>
      <c r="IY1" s="131">
        <v>29</v>
      </c>
      <c r="IZ1" s="131">
        <v>30</v>
      </c>
      <c r="JA1" s="131">
        <v>31</v>
      </c>
      <c r="JB1" s="131">
        <v>32</v>
      </c>
      <c r="JC1" s="131">
        <v>33</v>
      </c>
      <c r="JD1" s="131">
        <v>34</v>
      </c>
      <c r="JE1" s="131">
        <v>35</v>
      </c>
      <c r="JF1" s="131">
        <v>36</v>
      </c>
      <c r="JG1" s="131">
        <v>37</v>
      </c>
      <c r="JH1" s="131">
        <v>38</v>
      </c>
      <c r="JI1" s="131">
        <v>39</v>
      </c>
      <c r="JJ1" s="131">
        <v>40</v>
      </c>
      <c r="JK1" s="131">
        <v>41</v>
      </c>
      <c r="JL1" s="131">
        <v>42</v>
      </c>
      <c r="JM1" s="131">
        <v>43</v>
      </c>
      <c r="JN1" s="131">
        <v>44</v>
      </c>
      <c r="JO1" s="131">
        <v>45</v>
      </c>
      <c r="JP1" s="131">
        <v>46</v>
      </c>
      <c r="JQ1" s="131">
        <v>47</v>
      </c>
      <c r="JR1" s="131">
        <v>48</v>
      </c>
      <c r="JS1" s="131">
        <v>49</v>
      </c>
      <c r="JT1" s="131">
        <v>50</v>
      </c>
      <c r="JU1" s="131">
        <v>51</v>
      </c>
      <c r="JV1" s="131">
        <v>52</v>
      </c>
      <c r="JW1" s="131">
        <v>53</v>
      </c>
      <c r="JX1" s="131">
        <v>54</v>
      </c>
      <c r="JY1" s="131">
        <v>55</v>
      </c>
      <c r="JZ1" s="131">
        <v>56</v>
      </c>
      <c r="KA1" s="131">
        <v>57</v>
      </c>
      <c r="KB1" s="131">
        <v>58</v>
      </c>
      <c r="KC1" s="131">
        <v>59</v>
      </c>
      <c r="KD1" s="131">
        <v>60</v>
      </c>
      <c r="KE1" s="131">
        <v>61</v>
      </c>
      <c r="KF1" s="131">
        <v>62</v>
      </c>
      <c r="KG1" s="131">
        <v>63</v>
      </c>
      <c r="KH1" s="131">
        <v>64</v>
      </c>
      <c r="KI1" s="131">
        <v>65</v>
      </c>
      <c r="KJ1" s="131">
        <v>66</v>
      </c>
      <c r="KK1" s="131">
        <v>67</v>
      </c>
      <c r="KL1" s="131">
        <v>68</v>
      </c>
      <c r="KM1" s="131">
        <v>69</v>
      </c>
      <c r="KN1" s="131">
        <v>70</v>
      </c>
      <c r="KO1" s="131">
        <v>71</v>
      </c>
      <c r="KP1" s="131">
        <v>72</v>
      </c>
      <c r="KQ1" s="131">
        <v>73</v>
      </c>
      <c r="KR1" s="131">
        <v>74</v>
      </c>
      <c r="KS1" s="131">
        <v>75</v>
      </c>
      <c r="KT1" s="131">
        <v>76</v>
      </c>
      <c r="KU1" s="131">
        <v>77</v>
      </c>
      <c r="KV1" s="131">
        <v>78</v>
      </c>
      <c r="KW1" s="131">
        <v>79</v>
      </c>
      <c r="KX1" s="131">
        <v>80</v>
      </c>
      <c r="KY1" s="131">
        <v>81</v>
      </c>
      <c r="KZ1" s="131">
        <v>82</v>
      </c>
      <c r="LA1" s="131">
        <v>83</v>
      </c>
      <c r="LB1" s="131">
        <v>84</v>
      </c>
      <c r="LC1" s="131">
        <v>85</v>
      </c>
      <c r="LD1" s="131">
        <v>86</v>
      </c>
      <c r="LE1" s="131">
        <v>87</v>
      </c>
      <c r="LF1" s="131">
        <v>88</v>
      </c>
      <c r="LG1" s="131">
        <v>89</v>
      </c>
      <c r="LH1" s="131">
        <v>90</v>
      </c>
      <c r="LI1" s="131">
        <v>91</v>
      </c>
      <c r="LJ1" s="131">
        <v>92</v>
      </c>
      <c r="LK1" s="131">
        <v>93</v>
      </c>
      <c r="LL1" s="131">
        <v>94</v>
      </c>
      <c r="LM1" s="131">
        <v>95</v>
      </c>
      <c r="LN1" s="131">
        <v>96</v>
      </c>
      <c r="LO1" s="131">
        <v>97</v>
      </c>
      <c r="LP1" s="131">
        <v>98</v>
      </c>
      <c r="LQ1" s="131">
        <v>99</v>
      </c>
      <c r="LR1" s="131">
        <v>100</v>
      </c>
      <c r="LS1" s="131">
        <v>101</v>
      </c>
      <c r="LT1" s="131">
        <v>102</v>
      </c>
      <c r="LU1" s="131">
        <v>103</v>
      </c>
      <c r="LV1" s="131">
        <v>104</v>
      </c>
      <c r="LW1" s="131">
        <v>105</v>
      </c>
      <c r="LX1" s="131">
        <v>106</v>
      </c>
      <c r="LY1" s="131">
        <v>107</v>
      </c>
      <c r="LZ1" s="131">
        <v>108</v>
      </c>
      <c r="MA1" s="131">
        <v>109</v>
      </c>
      <c r="MB1" s="131">
        <v>110</v>
      </c>
      <c r="MC1" s="131">
        <v>111</v>
      </c>
      <c r="MD1" s="131">
        <v>112</v>
      </c>
      <c r="ME1" s="131">
        <v>113</v>
      </c>
      <c r="MF1" s="131">
        <v>114</v>
      </c>
      <c r="MG1" s="131">
        <v>115</v>
      </c>
      <c r="MH1" s="131">
        <v>116</v>
      </c>
      <c r="MI1" s="131">
        <v>117</v>
      </c>
      <c r="MJ1" s="131">
        <v>118</v>
      </c>
      <c r="MK1" s="131">
        <v>119</v>
      </c>
      <c r="ML1" s="131">
        <v>120</v>
      </c>
      <c r="MM1" s="131">
        <v>121</v>
      </c>
      <c r="MN1" s="131">
        <v>122</v>
      </c>
      <c r="MO1" s="131">
        <v>123</v>
      </c>
      <c r="MP1" s="131">
        <v>124</v>
      </c>
      <c r="MQ1" s="131">
        <v>125</v>
      </c>
      <c r="MR1" s="131">
        <v>126</v>
      </c>
      <c r="MS1" s="131">
        <v>127</v>
      </c>
      <c r="MT1" s="131">
        <v>128</v>
      </c>
      <c r="MU1" s="131">
        <v>129</v>
      </c>
      <c r="MV1" s="131">
        <v>130</v>
      </c>
      <c r="MW1" s="131">
        <v>131</v>
      </c>
      <c r="MX1" s="131">
        <v>132</v>
      </c>
      <c r="MY1" s="131">
        <v>133</v>
      </c>
      <c r="MZ1" s="131">
        <v>134</v>
      </c>
      <c r="NA1" s="131">
        <v>135</v>
      </c>
      <c r="NB1" s="131">
        <v>136</v>
      </c>
      <c r="NC1" s="131">
        <v>137</v>
      </c>
      <c r="ND1" s="131">
        <v>138</v>
      </c>
      <c r="NE1" s="131">
        <v>139</v>
      </c>
      <c r="NF1" s="131">
        <v>140</v>
      </c>
      <c r="NG1" s="131">
        <v>141</v>
      </c>
      <c r="NH1" s="131">
        <v>142</v>
      </c>
      <c r="NI1" s="131">
        <v>143</v>
      </c>
      <c r="NJ1" s="131">
        <v>144</v>
      </c>
      <c r="NK1" s="131">
        <v>145</v>
      </c>
      <c r="NL1" s="131">
        <v>146</v>
      </c>
      <c r="NM1" s="131">
        <v>147</v>
      </c>
      <c r="NN1" s="131">
        <v>148</v>
      </c>
      <c r="NO1" s="131">
        <v>149</v>
      </c>
      <c r="NP1" s="131">
        <v>150</v>
      </c>
      <c r="NQ1" s="131">
        <v>151</v>
      </c>
      <c r="NR1" s="131">
        <v>152</v>
      </c>
      <c r="NS1" s="131">
        <v>153</v>
      </c>
      <c r="NT1" s="131">
        <v>154</v>
      </c>
      <c r="NU1" s="131">
        <v>155</v>
      </c>
      <c r="NV1" s="131">
        <v>156</v>
      </c>
      <c r="NW1" s="131">
        <v>157</v>
      </c>
      <c r="NX1" s="131">
        <v>158</v>
      </c>
      <c r="NY1" s="131">
        <v>159</v>
      </c>
      <c r="NZ1" s="131">
        <v>160</v>
      </c>
      <c r="OA1" s="131">
        <v>161</v>
      </c>
      <c r="OB1" s="131">
        <v>162</v>
      </c>
      <c r="OC1" s="131">
        <v>163</v>
      </c>
      <c r="OD1" s="131">
        <v>164</v>
      </c>
      <c r="OE1" s="131">
        <v>165</v>
      </c>
      <c r="OF1" s="131">
        <v>166</v>
      </c>
      <c r="OG1" s="131">
        <v>167</v>
      </c>
      <c r="OH1" s="131">
        <v>168</v>
      </c>
      <c r="OI1" s="131">
        <v>169</v>
      </c>
      <c r="OJ1" s="131">
        <v>170</v>
      </c>
      <c r="OK1" s="131">
        <v>171</v>
      </c>
      <c r="OL1" s="131">
        <v>172</v>
      </c>
      <c r="OM1" s="131">
        <v>173</v>
      </c>
      <c r="ON1" s="131">
        <v>174</v>
      </c>
      <c r="OO1" s="131">
        <v>175</v>
      </c>
      <c r="OP1" s="131">
        <v>176</v>
      </c>
      <c r="OQ1" s="131">
        <v>177</v>
      </c>
      <c r="OR1" s="131">
        <v>178</v>
      </c>
      <c r="OS1" s="131">
        <v>179</v>
      </c>
      <c r="OT1" s="131">
        <v>180</v>
      </c>
      <c r="OU1" s="131">
        <v>181</v>
      </c>
      <c r="OV1" s="131">
        <v>182</v>
      </c>
      <c r="OW1" s="131">
        <v>183</v>
      </c>
      <c r="OX1" s="131">
        <v>184</v>
      </c>
      <c r="OY1" s="131">
        <v>185</v>
      </c>
      <c r="OZ1" s="131">
        <v>186</v>
      </c>
      <c r="PA1" s="131">
        <v>187</v>
      </c>
      <c r="PB1" s="131">
        <v>188</v>
      </c>
      <c r="PC1" s="131">
        <v>189</v>
      </c>
      <c r="PD1" s="131">
        <v>190</v>
      </c>
      <c r="PE1" s="131">
        <v>191</v>
      </c>
      <c r="PF1" s="131">
        <v>192</v>
      </c>
      <c r="PG1" s="131">
        <v>193</v>
      </c>
      <c r="PH1" s="131">
        <v>194</v>
      </c>
      <c r="PI1" s="131">
        <v>195</v>
      </c>
      <c r="PJ1" s="131">
        <v>196</v>
      </c>
      <c r="PK1" s="131">
        <v>197</v>
      </c>
      <c r="PL1" s="131">
        <v>198</v>
      </c>
      <c r="PM1" s="131">
        <v>199</v>
      </c>
      <c r="PN1" s="131">
        <v>200</v>
      </c>
      <c r="PO1" s="131">
        <v>201</v>
      </c>
      <c r="PP1" s="131">
        <v>202</v>
      </c>
      <c r="PQ1" s="131">
        <v>203</v>
      </c>
      <c r="PR1" s="131">
        <v>204</v>
      </c>
      <c r="PS1" s="131">
        <v>205</v>
      </c>
      <c r="PT1" s="131">
        <v>206</v>
      </c>
      <c r="PU1" s="131">
        <v>207</v>
      </c>
      <c r="PV1" s="131">
        <v>208</v>
      </c>
      <c r="PW1" s="131">
        <v>209</v>
      </c>
      <c r="PX1" s="131">
        <v>210</v>
      </c>
      <c r="PY1" s="131">
        <v>211</v>
      </c>
      <c r="PZ1" s="131">
        <v>212</v>
      </c>
      <c r="QA1" s="131">
        <v>213</v>
      </c>
      <c r="QB1" s="131">
        <v>214</v>
      </c>
      <c r="QC1" s="131">
        <v>215</v>
      </c>
      <c r="QD1" s="131">
        <v>216</v>
      </c>
      <c r="QE1" s="131">
        <v>217</v>
      </c>
      <c r="QF1" s="131">
        <v>218</v>
      </c>
      <c r="QG1" s="131">
        <v>219</v>
      </c>
      <c r="QH1" s="131">
        <v>220</v>
      </c>
      <c r="QI1" s="131">
        <v>221</v>
      </c>
      <c r="QJ1" s="131">
        <v>222</v>
      </c>
      <c r="QK1" s="131">
        <v>223</v>
      </c>
      <c r="QL1" s="131">
        <v>224</v>
      </c>
      <c r="QM1" s="131">
        <v>225</v>
      </c>
      <c r="QN1" s="131">
        <v>226</v>
      </c>
      <c r="QO1" s="131">
        <v>227</v>
      </c>
      <c r="QP1" s="131">
        <v>228</v>
      </c>
      <c r="QQ1" s="131">
        <v>229</v>
      </c>
      <c r="QR1" s="131">
        <v>230</v>
      </c>
      <c r="QS1" s="131">
        <v>231</v>
      </c>
      <c r="QT1" s="131">
        <v>232</v>
      </c>
      <c r="QU1" s="131">
        <v>233</v>
      </c>
      <c r="QV1" s="131">
        <v>234</v>
      </c>
      <c r="QW1" s="131">
        <v>235</v>
      </c>
      <c r="QX1" s="131">
        <v>236</v>
      </c>
      <c r="QY1" s="131">
        <v>237</v>
      </c>
      <c r="QZ1" s="131">
        <v>238</v>
      </c>
      <c r="RA1" s="131">
        <v>239</v>
      </c>
      <c r="RB1" s="131">
        <v>240</v>
      </c>
      <c r="RC1" s="131">
        <v>241</v>
      </c>
      <c r="RD1" s="131">
        <v>242</v>
      </c>
      <c r="RE1" s="131">
        <v>243</v>
      </c>
      <c r="RF1" s="131">
        <v>244</v>
      </c>
      <c r="RG1" s="131">
        <v>245</v>
      </c>
      <c r="RH1" s="131">
        <v>246</v>
      </c>
      <c r="RI1" s="131">
        <v>247</v>
      </c>
      <c r="RJ1" s="131">
        <v>248</v>
      </c>
      <c r="RK1" s="131">
        <v>249</v>
      </c>
      <c r="RL1" s="131">
        <v>250</v>
      </c>
      <c r="RM1" s="131">
        <v>251</v>
      </c>
      <c r="RN1" s="131">
        <v>252</v>
      </c>
      <c r="RO1" s="131">
        <v>253</v>
      </c>
      <c r="RP1" s="131">
        <v>254</v>
      </c>
      <c r="RQ1" s="131">
        <v>255</v>
      </c>
      <c r="RR1" s="131">
        <v>256</v>
      </c>
      <c r="RS1" s="131">
        <v>257</v>
      </c>
      <c r="RT1" s="131">
        <v>258</v>
      </c>
      <c r="RU1" s="131">
        <v>259</v>
      </c>
      <c r="RV1" s="131">
        <v>260</v>
      </c>
      <c r="RW1" s="131">
        <v>261</v>
      </c>
      <c r="RX1" s="131">
        <v>262</v>
      </c>
      <c r="RY1" s="131">
        <v>263</v>
      </c>
      <c r="RZ1" s="131">
        <v>264</v>
      </c>
      <c r="SA1" s="131">
        <v>265</v>
      </c>
      <c r="SB1" s="131">
        <v>266</v>
      </c>
      <c r="SC1" s="131">
        <v>267</v>
      </c>
      <c r="SD1" s="131">
        <v>268</v>
      </c>
      <c r="SE1" s="131">
        <v>269</v>
      </c>
      <c r="SF1" s="131">
        <v>270</v>
      </c>
      <c r="SG1" s="131">
        <v>271</v>
      </c>
      <c r="SH1" s="131">
        <v>272</v>
      </c>
      <c r="SI1" s="131">
        <v>273</v>
      </c>
      <c r="SJ1" s="131">
        <v>274</v>
      </c>
      <c r="SK1" s="131">
        <v>275</v>
      </c>
      <c r="SL1" s="131">
        <v>276</v>
      </c>
      <c r="SM1" s="131">
        <v>277</v>
      </c>
      <c r="SN1" s="131">
        <v>278</v>
      </c>
      <c r="SO1" s="131">
        <v>279</v>
      </c>
      <c r="SP1" s="131">
        <v>280</v>
      </c>
      <c r="SQ1" s="131">
        <v>281</v>
      </c>
      <c r="SR1" s="131">
        <v>282</v>
      </c>
      <c r="SS1" s="131">
        <v>283</v>
      </c>
      <c r="ST1" s="131">
        <v>284</v>
      </c>
      <c r="SU1" s="131">
        <v>285</v>
      </c>
      <c r="SV1" s="131">
        <v>286</v>
      </c>
      <c r="SW1" s="131">
        <v>287</v>
      </c>
      <c r="SX1" s="131">
        <v>288</v>
      </c>
      <c r="SY1" s="131">
        <v>289</v>
      </c>
      <c r="SZ1" s="131">
        <v>290</v>
      </c>
      <c r="TA1" s="131">
        <v>291</v>
      </c>
      <c r="TB1" s="131">
        <v>292</v>
      </c>
      <c r="TC1" s="131">
        <v>293</v>
      </c>
      <c r="TD1" s="131">
        <v>294</v>
      </c>
      <c r="TE1" s="131">
        <v>295</v>
      </c>
      <c r="TF1" s="131">
        <v>296</v>
      </c>
      <c r="TG1" s="131">
        <v>297</v>
      </c>
      <c r="TH1" s="131">
        <v>298</v>
      </c>
      <c r="TI1" s="131">
        <v>299</v>
      </c>
      <c r="TJ1" s="131">
        <v>300</v>
      </c>
      <c r="TK1" s="131">
        <v>301</v>
      </c>
      <c r="TL1" s="131">
        <v>302</v>
      </c>
      <c r="TM1" s="131">
        <v>303</v>
      </c>
      <c r="TN1" s="131">
        <v>304</v>
      </c>
      <c r="TO1" s="131">
        <v>305</v>
      </c>
      <c r="TP1" s="131">
        <v>306</v>
      </c>
      <c r="TQ1" s="131">
        <v>307</v>
      </c>
      <c r="TR1" s="131">
        <v>308</v>
      </c>
      <c r="TS1" s="131">
        <v>309</v>
      </c>
      <c r="TT1" s="131">
        <v>310</v>
      </c>
      <c r="TU1" s="131">
        <v>311</v>
      </c>
      <c r="TV1" s="131">
        <v>312</v>
      </c>
      <c r="TW1" s="131">
        <v>313</v>
      </c>
      <c r="TX1" s="131">
        <v>314</v>
      </c>
      <c r="TY1" s="131">
        <v>315</v>
      </c>
      <c r="TZ1" s="131">
        <v>316</v>
      </c>
      <c r="UA1" s="131">
        <v>317</v>
      </c>
      <c r="UB1" s="131">
        <v>318</v>
      </c>
      <c r="UC1" s="131">
        <v>319</v>
      </c>
      <c r="UD1" s="131">
        <v>320</v>
      </c>
      <c r="UE1" s="131">
        <v>321</v>
      </c>
      <c r="UF1" s="131">
        <v>322</v>
      </c>
      <c r="UG1" s="131">
        <v>323</v>
      </c>
      <c r="UH1" s="131">
        <v>324</v>
      </c>
      <c r="UI1" s="131">
        <v>325</v>
      </c>
      <c r="UJ1" s="131">
        <v>326</v>
      </c>
      <c r="UK1" s="131">
        <v>327</v>
      </c>
      <c r="UL1" s="131">
        <v>328</v>
      </c>
      <c r="UM1" s="131">
        <v>329</v>
      </c>
      <c r="UN1" s="131">
        <v>330</v>
      </c>
      <c r="UO1" s="131">
        <v>331</v>
      </c>
      <c r="UP1" s="131">
        <v>332</v>
      </c>
      <c r="UQ1" s="131">
        <v>333</v>
      </c>
      <c r="UR1" s="131">
        <v>334</v>
      </c>
      <c r="US1" s="131">
        <v>335</v>
      </c>
      <c r="UT1" s="131">
        <v>336</v>
      </c>
      <c r="UU1" s="131">
        <v>337</v>
      </c>
      <c r="UV1" s="131">
        <v>338</v>
      </c>
      <c r="UW1" s="131">
        <v>339</v>
      </c>
      <c r="UX1" s="131">
        <v>340</v>
      </c>
      <c r="UY1" s="131">
        <v>341</v>
      </c>
      <c r="UZ1" s="131">
        <v>342</v>
      </c>
      <c r="VA1" s="131">
        <v>343</v>
      </c>
      <c r="VB1" s="131">
        <v>344</v>
      </c>
      <c r="VC1" s="131">
        <v>345</v>
      </c>
      <c r="VD1" s="131">
        <v>346</v>
      </c>
      <c r="VE1" s="131">
        <v>347</v>
      </c>
      <c r="VF1" s="131">
        <v>348</v>
      </c>
      <c r="VG1" s="131">
        <v>349</v>
      </c>
      <c r="VH1" s="131">
        <v>350</v>
      </c>
      <c r="VI1" s="131">
        <v>351</v>
      </c>
      <c r="VJ1" s="131">
        <v>352</v>
      </c>
      <c r="VK1" s="131">
        <v>353</v>
      </c>
      <c r="VL1" s="131">
        <v>354</v>
      </c>
      <c r="VM1" s="131">
        <v>355</v>
      </c>
      <c r="VN1" s="131">
        <v>356</v>
      </c>
      <c r="VO1" s="131">
        <v>357</v>
      </c>
      <c r="VP1" s="131">
        <v>358</v>
      </c>
      <c r="VQ1" s="131">
        <v>359</v>
      </c>
      <c r="VR1" s="131">
        <v>360</v>
      </c>
      <c r="VS1" s="131">
        <v>361</v>
      </c>
      <c r="VT1" s="131">
        <v>362</v>
      </c>
      <c r="VU1" s="131">
        <v>363</v>
      </c>
      <c r="VV1" s="131">
        <v>364</v>
      </c>
      <c r="VW1" s="131">
        <v>365</v>
      </c>
      <c r="VX1" s="131">
        <v>366</v>
      </c>
      <c r="VY1" s="131">
        <v>367</v>
      </c>
      <c r="VZ1" s="131">
        <v>368</v>
      </c>
      <c r="WA1" s="131">
        <v>369</v>
      </c>
      <c r="WB1" s="131">
        <v>370</v>
      </c>
      <c r="WC1" s="131">
        <v>371</v>
      </c>
      <c r="WD1" s="131">
        <v>372</v>
      </c>
      <c r="WE1" s="131">
        <v>373</v>
      </c>
      <c r="WF1" s="131">
        <v>374</v>
      </c>
      <c r="WG1" s="131">
        <v>375</v>
      </c>
      <c r="WH1" s="131">
        <v>376</v>
      </c>
      <c r="WI1" s="131">
        <v>377</v>
      </c>
      <c r="WJ1" s="131">
        <v>378</v>
      </c>
      <c r="WK1" s="131">
        <v>379</v>
      </c>
      <c r="WL1" s="131">
        <v>380</v>
      </c>
      <c r="WM1" s="131">
        <v>381</v>
      </c>
      <c r="WN1" s="131">
        <v>382</v>
      </c>
      <c r="WO1" s="131">
        <v>383</v>
      </c>
      <c r="WP1" s="131">
        <v>384</v>
      </c>
      <c r="WQ1" s="131">
        <v>385</v>
      </c>
      <c r="WR1" s="131">
        <v>386</v>
      </c>
      <c r="WS1" s="131">
        <v>387</v>
      </c>
      <c r="WT1" s="131">
        <v>388</v>
      </c>
      <c r="WU1" s="131">
        <v>389</v>
      </c>
      <c r="WV1" s="131">
        <v>390</v>
      </c>
      <c r="WW1" s="131">
        <v>391</v>
      </c>
      <c r="WX1" s="131">
        <v>392</v>
      </c>
      <c r="WY1" s="131">
        <v>393</v>
      </c>
      <c r="WZ1" s="131">
        <v>394</v>
      </c>
      <c r="XA1" s="131">
        <v>395</v>
      </c>
      <c r="XB1" s="131">
        <v>396</v>
      </c>
      <c r="XC1" s="131">
        <v>397</v>
      </c>
      <c r="XD1" s="131">
        <v>398</v>
      </c>
      <c r="XE1" s="131">
        <v>399</v>
      </c>
      <c r="XF1" s="131">
        <v>400</v>
      </c>
      <c r="XG1" s="131">
        <v>401</v>
      </c>
      <c r="XH1" s="131">
        <v>402</v>
      </c>
      <c r="XI1" s="131">
        <v>403</v>
      </c>
      <c r="XJ1" s="131">
        <v>404</v>
      </c>
      <c r="XK1" s="131">
        <v>405</v>
      </c>
      <c r="XL1" s="131">
        <v>406</v>
      </c>
      <c r="XM1" s="131">
        <v>407</v>
      </c>
      <c r="XN1" s="131">
        <v>408</v>
      </c>
      <c r="XO1" s="131">
        <v>409</v>
      </c>
      <c r="XP1" s="131">
        <v>410</v>
      </c>
      <c r="XQ1" s="131">
        <v>411</v>
      </c>
      <c r="XR1" s="131">
        <v>412</v>
      </c>
      <c r="XS1" s="131">
        <v>413</v>
      </c>
      <c r="XT1" s="131">
        <v>414</v>
      </c>
      <c r="XU1" s="131">
        <v>415</v>
      </c>
      <c r="XV1" s="131">
        <v>416</v>
      </c>
      <c r="XW1" s="131">
        <v>417</v>
      </c>
      <c r="XX1" s="131">
        <v>418</v>
      </c>
      <c r="XY1" s="131">
        <v>419</v>
      </c>
      <c r="XZ1" s="131">
        <v>420</v>
      </c>
      <c r="YA1" s="131">
        <v>421</v>
      </c>
      <c r="YB1" s="131">
        <v>422</v>
      </c>
      <c r="YC1" s="131">
        <v>423</v>
      </c>
      <c r="YD1" s="131">
        <v>424</v>
      </c>
      <c r="YE1" s="131">
        <v>425</v>
      </c>
      <c r="YF1" s="131">
        <v>426</v>
      </c>
      <c r="YG1" s="131">
        <v>427</v>
      </c>
      <c r="YH1" s="131">
        <v>428</v>
      </c>
      <c r="YI1" s="131">
        <v>429</v>
      </c>
      <c r="YJ1" s="131">
        <v>430</v>
      </c>
      <c r="YK1" s="131">
        <v>431</v>
      </c>
      <c r="YL1" s="131">
        <v>432</v>
      </c>
      <c r="YM1" s="131">
        <v>433</v>
      </c>
      <c r="YN1" s="131">
        <v>434</v>
      </c>
      <c r="YO1" s="131">
        <v>435</v>
      </c>
      <c r="YP1" s="131">
        <v>436</v>
      </c>
      <c r="YQ1" s="131">
        <v>437</v>
      </c>
      <c r="YR1" s="131">
        <v>438</v>
      </c>
      <c r="YS1" s="131">
        <v>439</v>
      </c>
      <c r="YT1" s="131">
        <v>440</v>
      </c>
      <c r="YU1" s="131">
        <v>441</v>
      </c>
      <c r="YV1" s="131">
        <v>442</v>
      </c>
      <c r="YW1" s="131">
        <v>443</v>
      </c>
      <c r="YX1" s="131">
        <v>444</v>
      </c>
      <c r="YY1" s="131">
        <v>445</v>
      </c>
      <c r="YZ1" s="131">
        <v>446</v>
      </c>
      <c r="ZA1" s="131">
        <v>447</v>
      </c>
      <c r="ZB1" s="131">
        <v>448</v>
      </c>
      <c r="ZC1" s="131">
        <v>449</v>
      </c>
      <c r="ZD1" s="131">
        <v>450</v>
      </c>
      <c r="ZE1" s="131">
        <v>451</v>
      </c>
      <c r="ZF1" s="131">
        <v>452</v>
      </c>
      <c r="ZG1" s="131">
        <v>453</v>
      </c>
      <c r="ZH1" s="131">
        <v>454</v>
      </c>
      <c r="ZI1" s="131">
        <v>455</v>
      </c>
      <c r="ZJ1" s="131">
        <v>456</v>
      </c>
      <c r="ZK1" s="131">
        <v>457</v>
      </c>
      <c r="ZL1" s="131">
        <v>458</v>
      </c>
      <c r="ZM1" s="131">
        <v>459</v>
      </c>
      <c r="ZN1" s="131">
        <v>460</v>
      </c>
      <c r="ZO1" s="131">
        <v>461</v>
      </c>
      <c r="ZP1" s="131">
        <v>462</v>
      </c>
      <c r="ZQ1" s="131">
        <v>463</v>
      </c>
      <c r="ZR1" s="131">
        <v>464</v>
      </c>
      <c r="ZS1" s="131">
        <v>465</v>
      </c>
      <c r="ZT1" s="131">
        <v>466</v>
      </c>
      <c r="ZU1" s="131">
        <v>467</v>
      </c>
      <c r="ZV1" s="131">
        <v>468</v>
      </c>
      <c r="ZW1" s="131">
        <v>469</v>
      </c>
      <c r="ZX1" s="131">
        <v>470</v>
      </c>
      <c r="ZY1" s="131">
        <v>471</v>
      </c>
      <c r="ZZ1" s="131">
        <v>472</v>
      </c>
      <c r="AAA1" s="131">
        <v>473</v>
      </c>
      <c r="AAB1" s="131">
        <v>474</v>
      </c>
      <c r="AAC1" s="131">
        <v>475</v>
      </c>
      <c r="AAD1" s="131">
        <v>476</v>
      </c>
      <c r="AAE1" s="131">
        <v>477</v>
      </c>
      <c r="AAF1" s="131">
        <v>478</v>
      </c>
      <c r="AAG1" s="131">
        <v>479</v>
      </c>
      <c r="AAH1" s="131">
        <v>480</v>
      </c>
      <c r="AAI1" s="131">
        <v>481</v>
      </c>
      <c r="AAJ1" s="131">
        <v>482</v>
      </c>
      <c r="AAK1" s="131">
        <v>483</v>
      </c>
      <c r="AAL1" s="131">
        <v>484</v>
      </c>
      <c r="AAM1" s="131">
        <v>485</v>
      </c>
      <c r="AAN1" s="131">
        <v>486</v>
      </c>
      <c r="AAO1" s="131">
        <v>487</v>
      </c>
      <c r="AAP1" s="131">
        <v>488</v>
      </c>
      <c r="AAQ1" s="131">
        <v>489</v>
      </c>
      <c r="AAR1" s="131">
        <v>490</v>
      </c>
      <c r="AAS1" s="131">
        <v>491</v>
      </c>
      <c r="AAT1" s="131">
        <v>492</v>
      </c>
      <c r="AAU1" s="131">
        <v>493</v>
      </c>
      <c r="AAV1" s="131">
        <v>494</v>
      </c>
      <c r="AAW1" s="131">
        <v>495</v>
      </c>
      <c r="AAX1" s="131">
        <v>496</v>
      </c>
      <c r="AAY1" s="131">
        <v>497</v>
      </c>
      <c r="AAZ1" s="131">
        <v>498</v>
      </c>
      <c r="ABA1" s="131">
        <v>499</v>
      </c>
      <c r="ABB1" s="131">
        <v>500</v>
      </c>
      <c r="ABD1" s="135" t="s">
        <v>407</v>
      </c>
      <c r="ABE1" s="135" t="s">
        <v>418</v>
      </c>
      <c r="ABF1" s="135" t="s">
        <v>408</v>
      </c>
      <c r="ABG1" s="135" t="s">
        <v>409</v>
      </c>
      <c r="ABH1" s="135" t="s">
        <v>410</v>
      </c>
      <c r="ABI1" s="135" t="s">
        <v>411</v>
      </c>
      <c r="ABJ1" s="135" t="s">
        <v>412</v>
      </c>
      <c r="ABK1" s="135" t="s">
        <v>413</v>
      </c>
      <c r="ABL1" s="135" t="s">
        <v>414</v>
      </c>
      <c r="ABM1" s="135" t="s">
        <v>415</v>
      </c>
      <c r="ABN1" s="135" t="s">
        <v>416</v>
      </c>
      <c r="ABO1" s="135" t="s">
        <v>417</v>
      </c>
      <c r="XFB1" s="136" t="s">
        <v>58</v>
      </c>
      <c r="XFC1" s="136" t="s">
        <v>157</v>
      </c>
      <c r="XFD1" s="136" t="s">
        <v>159</v>
      </c>
    </row>
    <row r="2" spans="1:743 16382:16384">
      <c r="A2" s="131" t="s">
        <v>156</v>
      </c>
      <c r="B2" s="131" t="s">
        <v>400</v>
      </c>
      <c r="C2" s="132">
        <v>45017.625079999998</v>
      </c>
      <c r="D2" s="131">
        <v>12</v>
      </c>
      <c r="E2" s="131">
        <v>1</v>
      </c>
      <c r="F2" s="131">
        <v>7</v>
      </c>
      <c r="G2" s="131">
        <v>12</v>
      </c>
      <c r="H2" s="137">
        <v>0.48</v>
      </c>
      <c r="I2" s="137">
        <v>0.54</v>
      </c>
      <c r="J2" s="137">
        <v>0.54</v>
      </c>
      <c r="K2" s="137">
        <v>0.88</v>
      </c>
      <c r="L2" s="137">
        <v>0.88</v>
      </c>
      <c r="M2" s="137">
        <v>0.88</v>
      </c>
      <c r="N2" s="137">
        <v>0.88</v>
      </c>
      <c r="T2" s="137">
        <v>0.42</v>
      </c>
      <c r="U2" s="137">
        <v>0.44</v>
      </c>
      <c r="V2" s="137">
        <v>0.44</v>
      </c>
      <c r="W2" s="137">
        <v>0.78</v>
      </c>
      <c r="X2" s="137">
        <v>0.78</v>
      </c>
      <c r="Y2" s="137">
        <v>0.78</v>
      </c>
      <c r="Z2" s="137">
        <v>0.78</v>
      </c>
      <c r="AF2" s="131" t="s">
        <v>380</v>
      </c>
      <c r="AG2" s="131" t="s">
        <v>401</v>
      </c>
      <c r="AH2" s="131" t="s">
        <v>402</v>
      </c>
      <c r="AI2" s="131" t="s">
        <v>382</v>
      </c>
      <c r="AJ2" s="131" t="s">
        <v>384</v>
      </c>
      <c r="AK2" s="131" t="s">
        <v>383</v>
      </c>
      <c r="AL2" s="131" t="s">
        <v>385</v>
      </c>
      <c r="AR2" s="131">
        <v>0</v>
      </c>
      <c r="AS2" s="131">
        <v>0</v>
      </c>
      <c r="AT2" s="131">
        <v>0</v>
      </c>
      <c r="AU2" s="131">
        <v>0</v>
      </c>
      <c r="AV2" s="131">
        <v>0</v>
      </c>
      <c r="AW2" s="131">
        <v>0</v>
      </c>
      <c r="AX2" s="131">
        <v>0</v>
      </c>
      <c r="AY2" s="131">
        <v>0</v>
      </c>
      <c r="AZ2" s="131">
        <v>0</v>
      </c>
      <c r="BA2" s="131">
        <v>0</v>
      </c>
      <c r="BB2" s="131">
        <v>0</v>
      </c>
      <c r="BC2" s="131">
        <v>0</v>
      </c>
      <c r="BD2" s="131" t="s">
        <v>156</v>
      </c>
      <c r="BE2" s="134">
        <v>1</v>
      </c>
      <c r="BF2" s="134">
        <v>1</v>
      </c>
      <c r="BG2" s="134" t="s">
        <v>144</v>
      </c>
      <c r="BH2" s="134" t="s">
        <v>493</v>
      </c>
      <c r="BI2" s="134">
        <v>1</v>
      </c>
      <c r="BJ2" s="134">
        <v>1</v>
      </c>
      <c r="BK2" s="134">
        <v>1</v>
      </c>
      <c r="BL2" s="134">
        <v>4</v>
      </c>
      <c r="BM2" s="93" t="s">
        <v>190</v>
      </c>
      <c r="BN2" s="94" t="s">
        <v>496</v>
      </c>
      <c r="BO2" s="94" t="s">
        <v>191</v>
      </c>
      <c r="BP2" s="94"/>
      <c r="BQ2" s="131" t="s">
        <v>155</v>
      </c>
      <c r="CF2" s="131">
        <v>1</v>
      </c>
      <c r="CG2" s="131">
        <v>1</v>
      </c>
      <c r="CH2" s="131">
        <v>1</v>
      </c>
      <c r="CI2" s="131">
        <v>1</v>
      </c>
      <c r="CJ2" s="131">
        <v>1</v>
      </c>
      <c r="CS2" s="131">
        <v>1</v>
      </c>
      <c r="CT2" s="131">
        <v>1</v>
      </c>
      <c r="CU2" s="131">
        <v>1</v>
      </c>
      <c r="CV2" s="131">
        <v>1</v>
      </c>
      <c r="CW2" s="131">
        <v>1</v>
      </c>
      <c r="DF2" s="131">
        <v>1</v>
      </c>
      <c r="DG2" s="131">
        <v>1</v>
      </c>
      <c r="DH2" s="131">
        <v>1</v>
      </c>
      <c r="DI2" s="131">
        <v>1</v>
      </c>
      <c r="DJ2" s="131">
        <v>1</v>
      </c>
      <c r="DS2" s="131">
        <v>1</v>
      </c>
      <c r="DT2" s="131">
        <v>1</v>
      </c>
      <c r="DU2" s="131">
        <v>1</v>
      </c>
      <c r="DV2" s="131">
        <v>1</v>
      </c>
      <c r="DW2" s="131">
        <v>1</v>
      </c>
      <c r="EF2" s="131">
        <v>1</v>
      </c>
      <c r="EG2" s="131">
        <v>1</v>
      </c>
      <c r="EH2" s="131">
        <v>1</v>
      </c>
      <c r="EI2" s="131">
        <v>1</v>
      </c>
      <c r="EJ2" s="131">
        <v>1</v>
      </c>
      <c r="ES2" s="131">
        <v>1</v>
      </c>
      <c r="ET2" s="131">
        <v>1</v>
      </c>
      <c r="EU2" s="131">
        <v>1</v>
      </c>
      <c r="EV2" s="131">
        <v>1</v>
      </c>
      <c r="EW2" s="131">
        <v>1</v>
      </c>
      <c r="HT2" s="131" t="s">
        <v>155</v>
      </c>
      <c r="HU2" s="131" t="s">
        <v>500</v>
      </c>
      <c r="HV2" s="131" t="s">
        <v>154</v>
      </c>
      <c r="HW2" s="131">
        <v>1</v>
      </c>
      <c r="HX2" s="131">
        <v>1</v>
      </c>
      <c r="HY2" s="131">
        <v>1</v>
      </c>
      <c r="HZ2" s="131">
        <v>1</v>
      </c>
      <c r="IA2" s="131">
        <v>1</v>
      </c>
      <c r="IB2" s="131">
        <v>1</v>
      </c>
      <c r="IC2" s="131">
        <v>1</v>
      </c>
      <c r="ID2" s="131">
        <v>1</v>
      </c>
      <c r="IE2" s="131">
        <v>1</v>
      </c>
      <c r="IF2" s="131">
        <v>1</v>
      </c>
      <c r="IG2" s="131">
        <v>1</v>
      </c>
      <c r="IH2" s="131">
        <v>1</v>
      </c>
      <c r="XFB2" s="139" t="s">
        <v>144</v>
      </c>
      <c r="XFC2" s="139">
        <v>1</v>
      </c>
      <c r="XFD2" s="139">
        <v>1</v>
      </c>
    </row>
    <row r="3" spans="1:743 16382:16384">
      <c r="A3" s="131" t="s">
        <v>461</v>
      </c>
      <c r="B3" s="131" t="s">
        <v>379</v>
      </c>
      <c r="C3" s="132">
        <v>45568.30341</v>
      </c>
      <c r="D3" s="131">
        <v>3</v>
      </c>
      <c r="E3" s="131">
        <v>6</v>
      </c>
      <c r="F3" s="131">
        <v>5</v>
      </c>
      <c r="G3" s="131">
        <v>18</v>
      </c>
      <c r="H3" s="137">
        <v>0.59</v>
      </c>
      <c r="I3" s="137">
        <v>0.59</v>
      </c>
      <c r="J3" s="137">
        <v>0.59</v>
      </c>
      <c r="K3" s="137">
        <v>0.59</v>
      </c>
      <c r="L3" s="137">
        <v>0.64</v>
      </c>
      <c r="T3" s="137">
        <v>0.49</v>
      </c>
      <c r="U3" s="137">
        <v>0.49</v>
      </c>
      <c r="V3" s="137">
        <v>0.49</v>
      </c>
      <c r="W3" s="137">
        <v>0.49</v>
      </c>
      <c r="X3" s="137">
        <v>0.54</v>
      </c>
      <c r="AF3" s="131" t="s">
        <v>382</v>
      </c>
      <c r="AG3" s="131" t="s">
        <v>383</v>
      </c>
      <c r="AH3" s="131" t="s">
        <v>385</v>
      </c>
      <c r="AI3" s="131" t="s">
        <v>384</v>
      </c>
      <c r="AJ3" s="131" t="s">
        <v>380</v>
      </c>
      <c r="AR3" s="131">
        <v>0</v>
      </c>
      <c r="AS3" s="131">
        <v>0</v>
      </c>
      <c r="AT3" s="131">
        <v>0</v>
      </c>
      <c r="AU3" s="131">
        <v>0</v>
      </c>
      <c r="AV3" s="131">
        <v>0</v>
      </c>
      <c r="AW3" s="131">
        <v>0</v>
      </c>
      <c r="AX3" s="131">
        <v>0</v>
      </c>
      <c r="AY3" s="131">
        <v>0</v>
      </c>
      <c r="AZ3" s="131">
        <v>0</v>
      </c>
      <c r="BA3" s="131">
        <v>0</v>
      </c>
      <c r="BB3" s="131">
        <v>0</v>
      </c>
      <c r="BC3" s="131">
        <v>0</v>
      </c>
      <c r="BM3" s="94" t="s">
        <v>192</v>
      </c>
      <c r="BN3" s="94" t="s">
        <v>193</v>
      </c>
      <c r="BO3" s="94" t="s">
        <v>194</v>
      </c>
      <c r="BP3" s="94"/>
      <c r="BQ3" s="131" t="s">
        <v>499</v>
      </c>
      <c r="XFB3" s="138" t="s">
        <v>158</v>
      </c>
    </row>
    <row r="4" spans="1:743 16382:16384">
      <c r="A4" s="131" t="s">
        <v>462</v>
      </c>
      <c r="B4" s="131" t="s">
        <v>379</v>
      </c>
      <c r="C4" s="132">
        <v>45522.401729999998</v>
      </c>
      <c r="D4" s="131">
        <v>1</v>
      </c>
      <c r="E4" s="131">
        <v>16</v>
      </c>
      <c r="F4" s="131">
        <v>7</v>
      </c>
      <c r="G4" s="131">
        <v>16</v>
      </c>
      <c r="H4" s="137">
        <v>0.71</v>
      </c>
      <c r="I4" s="137">
        <v>0.42</v>
      </c>
      <c r="J4" s="137">
        <v>0.42</v>
      </c>
      <c r="K4" s="137">
        <v>0.46</v>
      </c>
      <c r="L4" s="137">
        <v>0.46</v>
      </c>
      <c r="M4" s="137">
        <v>0.71</v>
      </c>
      <c r="N4" s="137">
        <v>0.71</v>
      </c>
      <c r="T4" s="137">
        <v>0.65</v>
      </c>
      <c r="U4" s="137">
        <v>0.36</v>
      </c>
      <c r="V4" s="137">
        <v>0.36</v>
      </c>
      <c r="W4" s="137">
        <v>0.4</v>
      </c>
      <c r="X4" s="137">
        <v>0.4</v>
      </c>
      <c r="Y4" s="137">
        <v>0.65</v>
      </c>
      <c r="Z4" s="137">
        <v>0.65</v>
      </c>
      <c r="AF4" s="131" t="s">
        <v>388</v>
      </c>
      <c r="AG4" s="131" t="s">
        <v>382</v>
      </c>
      <c r="AH4" s="131" t="s">
        <v>384</v>
      </c>
      <c r="AI4" s="131" t="s">
        <v>383</v>
      </c>
      <c r="AJ4" s="131" t="s">
        <v>385</v>
      </c>
      <c r="AK4" s="131" t="s">
        <v>389</v>
      </c>
      <c r="AL4" s="131" t="s">
        <v>463</v>
      </c>
      <c r="AR4" s="131">
        <v>0</v>
      </c>
      <c r="AS4" s="131">
        <v>0</v>
      </c>
      <c r="AT4" s="131">
        <v>0</v>
      </c>
      <c r="AU4" s="131">
        <v>0</v>
      </c>
      <c r="AV4" s="131">
        <v>0</v>
      </c>
      <c r="AW4" s="131">
        <v>0</v>
      </c>
      <c r="AX4" s="131">
        <v>0</v>
      </c>
      <c r="AY4" s="131">
        <v>0</v>
      </c>
      <c r="AZ4" s="131">
        <v>0</v>
      </c>
      <c r="BA4" s="131">
        <v>0</v>
      </c>
      <c r="BB4" s="131">
        <v>0</v>
      </c>
      <c r="BC4" s="131">
        <v>0</v>
      </c>
      <c r="BM4" s="94" t="s">
        <v>195</v>
      </c>
      <c r="BN4" s="94" t="s">
        <v>196</v>
      </c>
      <c r="BO4" s="94" t="s">
        <v>194</v>
      </c>
      <c r="BP4" s="94"/>
      <c r="BQ4" s="131" t="s">
        <v>154</v>
      </c>
      <c r="XFB4" s="139"/>
      <c r="XFC4" s="139"/>
      <c r="XFD4" s="139"/>
    </row>
    <row r="5" spans="1:743 16382:16384">
      <c r="A5" s="131" t="s">
        <v>421</v>
      </c>
      <c r="B5" s="131" t="s">
        <v>400</v>
      </c>
      <c r="C5" s="132">
        <v>45517.842239999998</v>
      </c>
      <c r="D5" s="131">
        <v>3</v>
      </c>
      <c r="E5" s="131">
        <v>10</v>
      </c>
      <c r="F5" s="131">
        <v>4</v>
      </c>
      <c r="G5" s="131">
        <v>30</v>
      </c>
      <c r="H5" s="137">
        <v>1</v>
      </c>
      <c r="I5" s="137">
        <v>1</v>
      </c>
      <c r="J5" s="137">
        <v>1</v>
      </c>
      <c r="K5" s="137">
        <v>1</v>
      </c>
      <c r="T5" s="137">
        <v>0.5</v>
      </c>
      <c r="U5" s="137">
        <v>0.5</v>
      </c>
      <c r="V5" s="137">
        <v>0.5</v>
      </c>
      <c r="W5" s="137">
        <v>0.8</v>
      </c>
      <c r="AF5" s="131" t="s">
        <v>391</v>
      </c>
      <c r="AG5" s="131" t="s">
        <v>392</v>
      </c>
      <c r="AH5" s="131" t="s">
        <v>380</v>
      </c>
      <c r="AI5" s="131" t="s">
        <v>420</v>
      </c>
      <c r="AR5" s="131">
        <v>-0.1</v>
      </c>
      <c r="AS5" s="131">
        <v>-0.1</v>
      </c>
      <c r="AT5" s="131">
        <v>-0.1</v>
      </c>
      <c r="AU5" s="131">
        <v>-0.1</v>
      </c>
      <c r="AV5" s="131">
        <v>0</v>
      </c>
      <c r="AW5" s="131">
        <v>0</v>
      </c>
      <c r="AX5" s="131">
        <v>0</v>
      </c>
      <c r="AY5" s="131">
        <v>0</v>
      </c>
      <c r="AZ5" s="131">
        <v>0</v>
      </c>
      <c r="BA5" s="131">
        <v>0</v>
      </c>
      <c r="BB5" s="131">
        <v>0</v>
      </c>
      <c r="BC5" s="131">
        <v>0</v>
      </c>
      <c r="BM5" s="131" t="s">
        <v>197</v>
      </c>
      <c r="BN5" s="131" t="s">
        <v>198</v>
      </c>
      <c r="BO5" s="131" t="s">
        <v>194</v>
      </c>
    </row>
    <row r="6" spans="1:743 16382:16384">
      <c r="A6" s="131" t="s">
        <v>464</v>
      </c>
      <c r="B6" s="131" t="s">
        <v>379</v>
      </c>
      <c r="C6" s="132">
        <v>45539.911569999997</v>
      </c>
      <c r="D6" s="131">
        <v>1</v>
      </c>
      <c r="E6" s="131">
        <v>20</v>
      </c>
      <c r="F6" s="131">
        <v>4</v>
      </c>
      <c r="G6" s="131">
        <v>20</v>
      </c>
      <c r="H6" s="137">
        <v>0.74</v>
      </c>
      <c r="I6" s="137">
        <v>0.43</v>
      </c>
      <c r="J6" s="137">
        <v>0.43</v>
      </c>
      <c r="K6" s="137">
        <v>0.48</v>
      </c>
      <c r="T6" s="137">
        <v>0.66</v>
      </c>
      <c r="U6" s="137">
        <v>0.35</v>
      </c>
      <c r="V6" s="137">
        <v>0.35</v>
      </c>
      <c r="W6" s="137">
        <v>0.4</v>
      </c>
      <c r="AF6" s="131" t="s">
        <v>380</v>
      </c>
      <c r="AG6" s="131" t="s">
        <v>382</v>
      </c>
      <c r="AH6" s="131" t="s">
        <v>384</v>
      </c>
      <c r="AI6" s="131" t="s">
        <v>391</v>
      </c>
      <c r="AR6" s="131">
        <v>0</v>
      </c>
      <c r="AS6" s="131">
        <v>0</v>
      </c>
      <c r="AT6" s="131">
        <v>0</v>
      </c>
      <c r="AU6" s="131">
        <v>0</v>
      </c>
      <c r="AV6" s="131">
        <v>0</v>
      </c>
      <c r="AW6" s="131">
        <v>0</v>
      </c>
      <c r="AX6" s="131">
        <v>0</v>
      </c>
      <c r="AY6" s="131">
        <v>0</v>
      </c>
      <c r="AZ6" s="131">
        <v>0</v>
      </c>
      <c r="BA6" s="131">
        <v>0</v>
      </c>
      <c r="BB6" s="131">
        <v>0</v>
      </c>
      <c r="BC6" s="131">
        <v>0</v>
      </c>
      <c r="BM6" s="131" t="s">
        <v>199</v>
      </c>
      <c r="BN6" s="131" t="s">
        <v>200</v>
      </c>
      <c r="BO6" s="131" t="s">
        <v>194</v>
      </c>
    </row>
    <row r="7" spans="1:743 16382:16384">
      <c r="A7" s="131" t="s">
        <v>465</v>
      </c>
      <c r="B7" s="131" t="s">
        <v>379</v>
      </c>
      <c r="C7" s="132">
        <v>45526.783660000001</v>
      </c>
      <c r="D7" s="131">
        <v>1</v>
      </c>
      <c r="E7" s="131">
        <v>22</v>
      </c>
      <c r="F7" s="131">
        <v>5</v>
      </c>
      <c r="G7" s="131">
        <v>22</v>
      </c>
      <c r="H7" s="137">
        <v>0.64</v>
      </c>
      <c r="I7" s="137">
        <v>0.52</v>
      </c>
      <c r="J7" s="137">
        <v>0.52</v>
      </c>
      <c r="K7" s="137">
        <v>0.52</v>
      </c>
      <c r="L7" s="137">
        <v>0.52</v>
      </c>
      <c r="T7" s="137">
        <v>0.54</v>
      </c>
      <c r="U7" s="137">
        <v>0.42</v>
      </c>
      <c r="V7" s="137">
        <v>0.42</v>
      </c>
      <c r="W7" s="137">
        <v>0.42</v>
      </c>
      <c r="X7" s="137">
        <v>0.42</v>
      </c>
      <c r="AF7" s="131" t="s">
        <v>380</v>
      </c>
      <c r="AG7" s="131" t="s">
        <v>384</v>
      </c>
      <c r="AH7" s="131" t="s">
        <v>385</v>
      </c>
      <c r="AI7" s="131" t="s">
        <v>383</v>
      </c>
      <c r="AJ7" s="131" t="s">
        <v>382</v>
      </c>
      <c r="AR7" s="131">
        <v>0</v>
      </c>
      <c r="AS7" s="131">
        <v>0</v>
      </c>
      <c r="AT7" s="131">
        <v>0</v>
      </c>
      <c r="AU7" s="131">
        <v>0</v>
      </c>
      <c r="AV7" s="131">
        <v>0</v>
      </c>
      <c r="AW7" s="131">
        <v>0</v>
      </c>
      <c r="AX7" s="131">
        <v>0</v>
      </c>
      <c r="AY7" s="131">
        <v>0</v>
      </c>
      <c r="AZ7" s="131">
        <v>0</v>
      </c>
      <c r="BA7" s="131">
        <v>0</v>
      </c>
      <c r="BB7" s="131">
        <v>0</v>
      </c>
      <c r="BC7" s="131">
        <v>0</v>
      </c>
      <c r="BM7" s="131" t="s">
        <v>211</v>
      </c>
      <c r="BN7" s="131" t="s">
        <v>212</v>
      </c>
      <c r="BO7" s="131" t="s">
        <v>194</v>
      </c>
    </row>
    <row r="8" spans="1:743 16382:16384">
      <c r="A8" s="131" t="s">
        <v>466</v>
      </c>
      <c r="B8" s="131" t="s">
        <v>379</v>
      </c>
      <c r="C8" s="132">
        <v>45460.933969999998</v>
      </c>
      <c r="D8" s="131">
        <v>1</v>
      </c>
      <c r="E8" s="131">
        <v>10</v>
      </c>
      <c r="F8" s="131">
        <v>5</v>
      </c>
      <c r="G8" s="131">
        <v>10</v>
      </c>
      <c r="H8" s="137">
        <v>0.68</v>
      </c>
      <c r="I8" s="137">
        <v>0.42</v>
      </c>
      <c r="J8" s="137">
        <v>0.42</v>
      </c>
      <c r="K8" s="137">
        <v>0.74</v>
      </c>
      <c r="L8" s="137">
        <v>0.74</v>
      </c>
      <c r="T8" s="137">
        <v>0.6</v>
      </c>
      <c r="U8" s="137">
        <v>0.34</v>
      </c>
      <c r="V8" s="137">
        <v>0.34</v>
      </c>
      <c r="W8" s="137">
        <v>0.66</v>
      </c>
      <c r="X8" s="137">
        <v>0.66</v>
      </c>
      <c r="AF8" s="131" t="s">
        <v>380</v>
      </c>
      <c r="AG8" s="131" t="s">
        <v>384</v>
      </c>
      <c r="AH8" s="131" t="s">
        <v>382</v>
      </c>
      <c r="AI8" s="131" t="s">
        <v>383</v>
      </c>
      <c r="AJ8" s="131" t="s">
        <v>385</v>
      </c>
      <c r="AR8" s="131">
        <v>0</v>
      </c>
      <c r="AS8" s="131">
        <v>0</v>
      </c>
      <c r="AT8" s="131">
        <v>0</v>
      </c>
      <c r="AU8" s="131">
        <v>0</v>
      </c>
      <c r="AV8" s="131">
        <v>0</v>
      </c>
      <c r="AW8" s="131">
        <v>0</v>
      </c>
      <c r="AX8" s="131">
        <v>0</v>
      </c>
      <c r="AY8" s="131">
        <v>0</v>
      </c>
      <c r="AZ8" s="131">
        <v>0</v>
      </c>
      <c r="BA8" s="131">
        <v>0</v>
      </c>
      <c r="BB8" s="131">
        <v>0</v>
      </c>
      <c r="BC8" s="131">
        <v>0</v>
      </c>
      <c r="BM8" s="131" t="s">
        <v>201</v>
      </c>
      <c r="BN8" s="131" t="s">
        <v>202</v>
      </c>
      <c r="BO8" s="131" t="s">
        <v>194</v>
      </c>
    </row>
    <row r="9" spans="1:743 16382:16384">
      <c r="A9" s="131" t="s">
        <v>467</v>
      </c>
      <c r="B9" s="131" t="s">
        <v>379</v>
      </c>
      <c r="C9" s="132">
        <v>45551.674290000003</v>
      </c>
      <c r="D9" s="131">
        <v>1</v>
      </c>
      <c r="E9" s="131">
        <v>10</v>
      </c>
      <c r="F9" s="131">
        <v>1</v>
      </c>
      <c r="G9" s="131">
        <v>10</v>
      </c>
      <c r="H9" s="137">
        <v>0.68</v>
      </c>
      <c r="T9" s="137">
        <v>0.6</v>
      </c>
      <c r="AF9" s="131" t="s">
        <v>380</v>
      </c>
      <c r="AR9" s="131">
        <v>0.18</v>
      </c>
      <c r="AS9" s="131">
        <v>0</v>
      </c>
      <c r="AT9" s="131">
        <v>0</v>
      </c>
      <c r="AU9" s="131">
        <v>0</v>
      </c>
      <c r="AV9" s="131">
        <v>0</v>
      </c>
      <c r="AW9" s="131">
        <v>0</v>
      </c>
      <c r="AX9" s="131">
        <v>0</v>
      </c>
      <c r="AY9" s="131">
        <v>0</v>
      </c>
      <c r="AZ9" s="131">
        <v>0</v>
      </c>
      <c r="BA9" s="131">
        <v>0</v>
      </c>
      <c r="BB9" s="131">
        <v>0</v>
      </c>
      <c r="BC9" s="131">
        <v>0</v>
      </c>
      <c r="BM9" s="131" t="s">
        <v>203</v>
      </c>
      <c r="BN9" s="131" t="s">
        <v>204</v>
      </c>
      <c r="BO9" s="131" t="s">
        <v>194</v>
      </c>
    </row>
    <row r="10" spans="1:743 16382:16384">
      <c r="A10" s="131" t="s">
        <v>468</v>
      </c>
      <c r="B10" s="131" t="s">
        <v>379</v>
      </c>
      <c r="C10" s="132">
        <v>45539.599620000001</v>
      </c>
      <c r="D10" s="131">
        <v>1</v>
      </c>
      <c r="E10" s="131">
        <v>12</v>
      </c>
      <c r="F10" s="131">
        <v>4</v>
      </c>
      <c r="G10" s="131">
        <v>12</v>
      </c>
      <c r="H10" s="137">
        <v>0.8</v>
      </c>
      <c r="I10" s="137">
        <v>0.52</v>
      </c>
      <c r="J10" s="137">
        <v>0.63</v>
      </c>
      <c r="K10" s="137">
        <v>0.63</v>
      </c>
      <c r="T10" s="137">
        <v>0.71</v>
      </c>
      <c r="U10" s="137">
        <v>0.44</v>
      </c>
      <c r="V10" s="137">
        <v>0.55000000000000004</v>
      </c>
      <c r="W10" s="137">
        <v>0.55000000000000004</v>
      </c>
      <c r="AF10" s="131" t="s">
        <v>380</v>
      </c>
      <c r="AG10" s="131" t="s">
        <v>392</v>
      </c>
      <c r="AH10" s="131" t="s">
        <v>383</v>
      </c>
      <c r="AI10" s="131" t="s">
        <v>385</v>
      </c>
      <c r="AR10" s="131">
        <v>0.2</v>
      </c>
      <c r="AS10" s="131">
        <v>0.2</v>
      </c>
      <c r="AT10" s="131">
        <v>0.22</v>
      </c>
      <c r="AU10" s="131">
        <v>0.22</v>
      </c>
      <c r="AV10" s="131">
        <v>0</v>
      </c>
      <c r="AW10" s="131">
        <v>0</v>
      </c>
      <c r="AX10" s="131">
        <v>0</v>
      </c>
      <c r="AY10" s="131">
        <v>0</v>
      </c>
      <c r="AZ10" s="131">
        <v>0</v>
      </c>
      <c r="BA10" s="131">
        <v>0</v>
      </c>
      <c r="BB10" s="131">
        <v>0</v>
      </c>
      <c r="BC10" s="131">
        <v>0</v>
      </c>
      <c r="BM10" s="131" t="s">
        <v>205</v>
      </c>
      <c r="BN10" s="131" t="s">
        <v>206</v>
      </c>
      <c r="BO10" s="131" t="s">
        <v>194</v>
      </c>
    </row>
    <row r="11" spans="1:743 16382:16384">
      <c r="A11" s="131" t="s">
        <v>469</v>
      </c>
      <c r="B11" s="131" t="s">
        <v>379</v>
      </c>
      <c r="C11" s="132">
        <v>45548.945059999998</v>
      </c>
      <c r="D11" s="131">
        <v>2</v>
      </c>
      <c r="E11" s="131">
        <v>10</v>
      </c>
      <c r="F11" s="131">
        <v>3</v>
      </c>
      <c r="G11" s="131">
        <v>20</v>
      </c>
      <c r="H11" s="137">
        <v>0.47</v>
      </c>
      <c r="I11" s="137">
        <v>0.54</v>
      </c>
      <c r="J11" s="137">
        <v>0.54</v>
      </c>
      <c r="T11" s="137">
        <v>0.41</v>
      </c>
      <c r="U11" s="137">
        <v>0.48</v>
      </c>
      <c r="V11" s="137">
        <v>0.48</v>
      </c>
      <c r="AF11" s="131" t="s">
        <v>380</v>
      </c>
      <c r="AG11" s="131" t="s">
        <v>391</v>
      </c>
      <c r="AH11" s="131" t="s">
        <v>392</v>
      </c>
      <c r="AR11" s="131">
        <v>0</v>
      </c>
      <c r="AS11" s="131">
        <v>0</v>
      </c>
      <c r="AT11" s="131">
        <v>0</v>
      </c>
      <c r="AU11" s="131">
        <v>0</v>
      </c>
      <c r="AV11" s="131">
        <v>0</v>
      </c>
      <c r="AW11" s="131">
        <v>0</v>
      </c>
      <c r="AX11" s="131">
        <v>0</v>
      </c>
      <c r="AY11" s="131">
        <v>0</v>
      </c>
      <c r="AZ11" s="131">
        <v>0</v>
      </c>
      <c r="BA11" s="131">
        <v>0</v>
      </c>
      <c r="BB11" s="131">
        <v>0</v>
      </c>
      <c r="BC11" s="131">
        <v>0</v>
      </c>
      <c r="BM11" s="131" t="s">
        <v>207</v>
      </c>
      <c r="BN11" s="131" t="s">
        <v>208</v>
      </c>
      <c r="BO11" s="131" t="s">
        <v>194</v>
      </c>
    </row>
    <row r="12" spans="1:743 16382:16384">
      <c r="A12" s="131" t="s">
        <v>470</v>
      </c>
      <c r="B12" s="131" t="s">
        <v>379</v>
      </c>
      <c r="C12" s="132">
        <v>45551.888679999996</v>
      </c>
      <c r="D12" s="131">
        <v>4</v>
      </c>
      <c r="E12" s="131">
        <v>12</v>
      </c>
      <c r="F12" s="131">
        <v>3</v>
      </c>
      <c r="G12" s="131">
        <v>48</v>
      </c>
      <c r="H12" s="137">
        <v>0.44500000000000001</v>
      </c>
      <c r="I12" s="137">
        <v>0.58499999999999996</v>
      </c>
      <c r="J12" s="137">
        <v>0.58499999999999996</v>
      </c>
      <c r="T12" s="137">
        <v>0.35499999999999998</v>
      </c>
      <c r="U12" s="137">
        <v>0.495</v>
      </c>
      <c r="V12" s="137">
        <v>0.495</v>
      </c>
      <c r="AF12" s="131" t="s">
        <v>380</v>
      </c>
      <c r="AG12" s="131" t="s">
        <v>391</v>
      </c>
      <c r="AH12" s="131" t="s">
        <v>392</v>
      </c>
      <c r="AR12" s="131">
        <v>0.22</v>
      </c>
      <c r="AS12" s="131">
        <v>0.16</v>
      </c>
      <c r="AT12" s="131">
        <v>0.16</v>
      </c>
      <c r="AU12" s="131">
        <v>0</v>
      </c>
      <c r="AV12" s="131">
        <v>0</v>
      </c>
      <c r="AW12" s="131">
        <v>0</v>
      </c>
      <c r="AX12" s="131">
        <v>0</v>
      </c>
      <c r="AY12" s="131">
        <v>0</v>
      </c>
      <c r="AZ12" s="131">
        <v>0</v>
      </c>
      <c r="BA12" s="131">
        <v>0</v>
      </c>
      <c r="BB12" s="131">
        <v>0</v>
      </c>
      <c r="BC12" s="131">
        <v>0</v>
      </c>
      <c r="BM12" s="131" t="s">
        <v>209</v>
      </c>
      <c r="BN12" s="131" t="s">
        <v>210</v>
      </c>
      <c r="BO12" s="131" t="s">
        <v>194</v>
      </c>
    </row>
    <row r="13" spans="1:743 16382:16384">
      <c r="A13" s="131" t="s">
        <v>471</v>
      </c>
      <c r="B13" s="131" t="s">
        <v>379</v>
      </c>
      <c r="C13" s="132">
        <v>45558.171679999999</v>
      </c>
      <c r="D13" s="131">
        <v>1</v>
      </c>
      <c r="E13" s="131">
        <v>18</v>
      </c>
      <c r="F13" s="131">
        <v>5</v>
      </c>
      <c r="G13" s="131">
        <v>18</v>
      </c>
      <c r="H13" s="137">
        <v>0.63</v>
      </c>
      <c r="I13" s="137">
        <v>0.53</v>
      </c>
      <c r="J13" s="137">
        <v>0.51</v>
      </c>
      <c r="K13" s="137">
        <v>0.51</v>
      </c>
      <c r="L13" s="137">
        <v>0.53</v>
      </c>
      <c r="T13" s="137">
        <v>0.55000000000000004</v>
      </c>
      <c r="U13" s="137">
        <v>0.45</v>
      </c>
      <c r="V13" s="137">
        <v>0.43</v>
      </c>
      <c r="W13" s="137">
        <v>0.43</v>
      </c>
      <c r="X13" s="137">
        <v>0.45</v>
      </c>
      <c r="AF13" s="131" t="s">
        <v>380</v>
      </c>
      <c r="AG13" s="131" t="s">
        <v>382</v>
      </c>
      <c r="AH13" s="131" t="s">
        <v>383</v>
      </c>
      <c r="AI13" s="131" t="s">
        <v>385</v>
      </c>
      <c r="AJ13" s="131" t="s">
        <v>384</v>
      </c>
      <c r="AR13" s="131">
        <v>0</v>
      </c>
      <c r="AS13" s="131">
        <v>0</v>
      </c>
      <c r="AT13" s="131">
        <v>0</v>
      </c>
      <c r="AU13" s="131">
        <v>0</v>
      </c>
      <c r="AV13" s="131">
        <v>0</v>
      </c>
      <c r="AW13" s="131">
        <v>0</v>
      </c>
      <c r="AX13" s="131">
        <v>0</v>
      </c>
      <c r="AY13" s="131">
        <v>0</v>
      </c>
      <c r="AZ13" s="131">
        <v>0</v>
      </c>
      <c r="BA13" s="131">
        <v>0</v>
      </c>
      <c r="BB13" s="131">
        <v>0</v>
      </c>
      <c r="BC13" s="131">
        <v>0</v>
      </c>
      <c r="BM13" s="131" t="s">
        <v>213</v>
      </c>
      <c r="BN13" s="131" t="s">
        <v>214</v>
      </c>
      <c r="BO13" s="94" t="s">
        <v>191</v>
      </c>
    </row>
    <row r="14" spans="1:743 16382:16384">
      <c r="A14" s="131" t="s">
        <v>378</v>
      </c>
      <c r="B14" s="131" t="s">
        <v>379</v>
      </c>
      <c r="C14" s="132">
        <v>45286.481670000001</v>
      </c>
      <c r="D14" s="131">
        <v>3</v>
      </c>
      <c r="E14" s="131">
        <v>5</v>
      </c>
      <c r="F14" s="131">
        <v>1</v>
      </c>
      <c r="G14" s="131">
        <v>15</v>
      </c>
      <c r="H14" s="137">
        <v>0.64</v>
      </c>
      <c r="T14" s="137">
        <v>0.54</v>
      </c>
      <c r="AF14" s="131" t="s">
        <v>380</v>
      </c>
      <c r="AR14" s="131">
        <v>0</v>
      </c>
      <c r="AS14" s="131">
        <v>0</v>
      </c>
      <c r="AT14" s="131">
        <v>0</v>
      </c>
      <c r="AU14" s="131">
        <v>0</v>
      </c>
      <c r="AV14" s="131">
        <v>0</v>
      </c>
      <c r="AW14" s="131">
        <v>0</v>
      </c>
      <c r="AX14" s="131">
        <v>0</v>
      </c>
      <c r="AY14" s="131">
        <v>0</v>
      </c>
      <c r="AZ14" s="131">
        <v>0</v>
      </c>
      <c r="BA14" s="131">
        <v>0</v>
      </c>
      <c r="BB14" s="131">
        <v>0</v>
      </c>
      <c r="BC14" s="131">
        <v>0</v>
      </c>
      <c r="BM14" s="131" t="s">
        <v>497</v>
      </c>
      <c r="BN14" s="131" t="s">
        <v>498</v>
      </c>
      <c r="BO14" s="131" t="s">
        <v>194</v>
      </c>
    </row>
    <row r="15" spans="1:743 16382:16384">
      <c r="A15" s="131" t="s">
        <v>381</v>
      </c>
      <c r="B15" s="131" t="s">
        <v>379</v>
      </c>
      <c r="C15" s="132">
        <v>45209.875760000003</v>
      </c>
      <c r="D15" s="131">
        <v>3</v>
      </c>
      <c r="E15" s="131">
        <v>5</v>
      </c>
      <c r="F15" s="131">
        <v>5</v>
      </c>
      <c r="G15" s="131">
        <v>15</v>
      </c>
      <c r="H15" s="137">
        <v>0.59</v>
      </c>
      <c r="I15" s="137">
        <v>0.59</v>
      </c>
      <c r="J15" s="137">
        <v>0.59</v>
      </c>
      <c r="K15" s="137">
        <v>0.59</v>
      </c>
      <c r="L15" s="137">
        <v>0.64</v>
      </c>
      <c r="T15" s="137">
        <v>0.49</v>
      </c>
      <c r="U15" s="137">
        <v>0.49</v>
      </c>
      <c r="V15" s="137">
        <v>0.49</v>
      </c>
      <c r="W15" s="137">
        <v>0.49</v>
      </c>
      <c r="X15" s="137">
        <v>0.54</v>
      </c>
      <c r="AF15" s="131" t="s">
        <v>382</v>
      </c>
      <c r="AG15" s="131" t="s">
        <v>383</v>
      </c>
      <c r="AH15" s="131" t="s">
        <v>384</v>
      </c>
      <c r="AI15" s="131" t="s">
        <v>385</v>
      </c>
      <c r="AJ15" s="131" t="s">
        <v>380</v>
      </c>
      <c r="AR15" s="131">
        <v>0</v>
      </c>
      <c r="AS15" s="131">
        <v>0</v>
      </c>
      <c r="AT15" s="131">
        <v>0</v>
      </c>
      <c r="AU15" s="131">
        <v>0</v>
      </c>
      <c r="AV15" s="131">
        <v>0</v>
      </c>
      <c r="AW15" s="131">
        <v>0</v>
      </c>
      <c r="AX15" s="131">
        <v>0</v>
      </c>
      <c r="AY15" s="131">
        <v>0</v>
      </c>
      <c r="AZ15" s="131">
        <v>0</v>
      </c>
      <c r="BA15" s="131">
        <v>0</v>
      </c>
      <c r="BB15" s="131">
        <v>0</v>
      </c>
      <c r="BC15" s="131">
        <v>0</v>
      </c>
    </row>
    <row r="16" spans="1:743 16382:16384">
      <c r="A16" s="131" t="s">
        <v>386</v>
      </c>
      <c r="B16" s="131" t="s">
        <v>379</v>
      </c>
      <c r="C16" s="132">
        <v>45224.846769999996</v>
      </c>
      <c r="D16" s="131">
        <v>1</v>
      </c>
      <c r="E16" s="131">
        <v>10</v>
      </c>
      <c r="F16" s="131">
        <v>5</v>
      </c>
      <c r="G16" s="131">
        <v>10</v>
      </c>
      <c r="H16" s="137">
        <v>0.53</v>
      </c>
      <c r="I16" s="137">
        <v>0.78</v>
      </c>
      <c r="J16" s="137">
        <v>0.78</v>
      </c>
      <c r="K16" s="137">
        <v>0.78</v>
      </c>
      <c r="L16" s="137">
        <v>0.78</v>
      </c>
      <c r="T16" s="137">
        <v>0.47</v>
      </c>
      <c r="U16" s="137">
        <v>0.69</v>
      </c>
      <c r="V16" s="137">
        <v>0.69</v>
      </c>
      <c r="W16" s="137">
        <v>0.69</v>
      </c>
      <c r="X16" s="137">
        <v>0.69</v>
      </c>
      <c r="AF16" s="131" t="s">
        <v>380</v>
      </c>
      <c r="AG16" s="131" t="s">
        <v>383</v>
      </c>
      <c r="AH16" s="131" t="s">
        <v>385</v>
      </c>
      <c r="AI16" s="131" t="s">
        <v>382</v>
      </c>
      <c r="AJ16" s="131" t="s">
        <v>384</v>
      </c>
      <c r="AR16" s="131">
        <v>0</v>
      </c>
      <c r="AS16" s="131">
        <v>0</v>
      </c>
      <c r="AT16" s="131">
        <v>0</v>
      </c>
      <c r="AU16" s="131">
        <v>0</v>
      </c>
      <c r="AV16" s="131">
        <v>0</v>
      </c>
      <c r="AW16" s="131">
        <v>0</v>
      </c>
      <c r="AX16" s="131">
        <v>0</v>
      </c>
      <c r="AY16" s="131">
        <v>0</v>
      </c>
      <c r="AZ16" s="131">
        <v>0</v>
      </c>
      <c r="BA16" s="131">
        <v>0</v>
      </c>
      <c r="BB16" s="131">
        <v>0</v>
      </c>
      <c r="BC16" s="131">
        <v>0</v>
      </c>
    </row>
    <row r="17" spans="1:55">
      <c r="A17" s="131" t="s">
        <v>387</v>
      </c>
      <c r="B17" s="131" t="s">
        <v>379</v>
      </c>
      <c r="C17" s="132">
        <v>45218.344469999996</v>
      </c>
      <c r="D17" s="131">
        <v>2</v>
      </c>
      <c r="E17" s="131">
        <v>10</v>
      </c>
      <c r="F17" s="131">
        <v>6</v>
      </c>
      <c r="G17" s="131">
        <v>20</v>
      </c>
      <c r="H17" s="137">
        <v>0.44</v>
      </c>
      <c r="I17" s="137">
        <v>0.44</v>
      </c>
      <c r="J17" s="137">
        <v>0.5</v>
      </c>
      <c r="K17" s="137">
        <v>0.5</v>
      </c>
      <c r="L17" s="137">
        <v>0.5</v>
      </c>
      <c r="M17" s="137">
        <v>0.5</v>
      </c>
      <c r="T17" s="137">
        <v>0.38</v>
      </c>
      <c r="U17" s="137">
        <v>0.38</v>
      </c>
      <c r="V17" s="137">
        <v>0.44</v>
      </c>
      <c r="W17" s="137">
        <v>0.44</v>
      </c>
      <c r="X17" s="137">
        <v>0.44</v>
      </c>
      <c r="Y17" s="137">
        <v>0.44</v>
      </c>
      <c r="AF17" s="131" t="s">
        <v>388</v>
      </c>
      <c r="AG17" s="131" t="s">
        <v>389</v>
      </c>
      <c r="AH17" s="131" t="s">
        <v>383</v>
      </c>
      <c r="AI17" s="131" t="s">
        <v>385</v>
      </c>
      <c r="AJ17" s="131" t="s">
        <v>382</v>
      </c>
      <c r="AK17" s="131" t="s">
        <v>384</v>
      </c>
      <c r="AR17" s="131">
        <v>0</v>
      </c>
      <c r="AS17" s="131">
        <v>0</v>
      </c>
      <c r="AT17" s="131">
        <v>0</v>
      </c>
      <c r="AU17" s="131">
        <v>0</v>
      </c>
      <c r="AV17" s="131">
        <v>0</v>
      </c>
      <c r="AW17" s="131">
        <v>0</v>
      </c>
      <c r="AX17" s="131">
        <v>0</v>
      </c>
      <c r="AY17" s="131">
        <v>0</v>
      </c>
      <c r="AZ17" s="131">
        <v>0</v>
      </c>
      <c r="BA17" s="131">
        <v>0</v>
      </c>
      <c r="BB17" s="131">
        <v>0</v>
      </c>
      <c r="BC17" s="131">
        <v>0</v>
      </c>
    </row>
    <row r="18" spans="1:55">
      <c r="A18" s="131" t="s">
        <v>394</v>
      </c>
      <c r="B18" s="131" t="s">
        <v>379</v>
      </c>
      <c r="C18" s="132">
        <v>45203.087189999998</v>
      </c>
      <c r="D18" s="131">
        <v>2</v>
      </c>
      <c r="E18" s="131">
        <v>9</v>
      </c>
      <c r="F18" s="131">
        <v>2</v>
      </c>
      <c r="G18" s="131">
        <v>18</v>
      </c>
      <c r="H18" s="137">
        <v>0.36</v>
      </c>
      <c r="I18" s="137">
        <v>0.36</v>
      </c>
      <c r="T18" s="137">
        <v>0.28999999999999998</v>
      </c>
      <c r="U18" s="137">
        <v>0.28999999999999998</v>
      </c>
      <c r="AF18" s="131" t="s">
        <v>391</v>
      </c>
      <c r="AG18" s="131" t="s">
        <v>392</v>
      </c>
      <c r="AR18" s="131">
        <v>0</v>
      </c>
      <c r="AS18" s="131">
        <v>0</v>
      </c>
      <c r="AT18" s="131">
        <v>0</v>
      </c>
      <c r="AU18" s="131">
        <v>0</v>
      </c>
      <c r="AV18" s="131">
        <v>0</v>
      </c>
      <c r="AW18" s="131">
        <v>0</v>
      </c>
      <c r="AX18" s="131">
        <v>0</v>
      </c>
      <c r="AY18" s="131">
        <v>0</v>
      </c>
      <c r="AZ18" s="131">
        <v>0</v>
      </c>
      <c r="BA18" s="131">
        <v>0</v>
      </c>
      <c r="BB18" s="131">
        <v>0</v>
      </c>
      <c r="BC18" s="131">
        <v>0</v>
      </c>
    </row>
    <row r="19" spans="1:55">
      <c r="A19" s="131" t="s">
        <v>395</v>
      </c>
      <c r="B19" s="131" t="s">
        <v>379</v>
      </c>
      <c r="C19" s="132">
        <v>45224.978519999997</v>
      </c>
      <c r="D19" s="131">
        <v>12</v>
      </c>
      <c r="E19" s="131">
        <v>2</v>
      </c>
      <c r="F19" s="131">
        <v>4</v>
      </c>
      <c r="G19" s="131">
        <v>24</v>
      </c>
      <c r="H19" s="137">
        <v>1.28</v>
      </c>
      <c r="I19" s="137">
        <v>1.28</v>
      </c>
      <c r="J19" s="137">
        <v>1.28</v>
      </c>
      <c r="K19" s="137">
        <v>1.28</v>
      </c>
      <c r="T19" s="137">
        <v>1.18</v>
      </c>
      <c r="U19" s="137">
        <v>1.18</v>
      </c>
      <c r="V19" s="137">
        <v>1.18</v>
      </c>
      <c r="W19" s="137">
        <v>1.18</v>
      </c>
      <c r="AF19" s="131" t="s">
        <v>396</v>
      </c>
      <c r="AG19" s="131" t="s">
        <v>397</v>
      </c>
      <c r="AH19" s="131" t="s">
        <v>396</v>
      </c>
      <c r="AI19" s="131" t="s">
        <v>398</v>
      </c>
      <c r="AR19" s="131">
        <v>0</v>
      </c>
      <c r="AS19" s="131">
        <v>0</v>
      </c>
      <c r="AT19" s="131">
        <v>0</v>
      </c>
      <c r="AU19" s="131">
        <v>0</v>
      </c>
      <c r="AV19" s="131">
        <v>0</v>
      </c>
      <c r="AW19" s="131">
        <v>0</v>
      </c>
      <c r="AX19" s="131">
        <v>0</v>
      </c>
      <c r="AY19" s="131">
        <v>0</v>
      </c>
      <c r="AZ19" s="131">
        <v>0</v>
      </c>
      <c r="BA19" s="131">
        <v>0</v>
      </c>
      <c r="BB19" s="131">
        <v>0</v>
      </c>
      <c r="BC19" s="131">
        <v>0</v>
      </c>
    </row>
    <row r="20" spans="1:55">
      <c r="A20" s="131" t="s">
        <v>399</v>
      </c>
      <c r="B20" s="131" t="s">
        <v>379</v>
      </c>
      <c r="C20" s="132">
        <v>45211.922039999998</v>
      </c>
      <c r="D20" s="131">
        <v>2</v>
      </c>
      <c r="E20" s="131">
        <v>10</v>
      </c>
      <c r="F20" s="131">
        <v>1</v>
      </c>
      <c r="G20" s="131">
        <v>20</v>
      </c>
      <c r="H20" s="137">
        <v>0.44</v>
      </c>
      <c r="T20" s="137">
        <v>0.38</v>
      </c>
      <c r="AF20" s="131" t="s">
        <v>380</v>
      </c>
      <c r="AR20" s="131">
        <v>0</v>
      </c>
      <c r="AS20" s="131">
        <v>0</v>
      </c>
      <c r="AT20" s="131">
        <v>0</v>
      </c>
      <c r="AU20" s="131">
        <v>0</v>
      </c>
      <c r="AV20" s="131">
        <v>0</v>
      </c>
      <c r="AW20" s="131">
        <v>0</v>
      </c>
      <c r="AX20" s="131">
        <v>0</v>
      </c>
      <c r="AY20" s="131">
        <v>0</v>
      </c>
      <c r="AZ20" s="131">
        <v>0</v>
      </c>
      <c r="BA20" s="131">
        <v>0</v>
      </c>
      <c r="BB20" s="131">
        <v>0</v>
      </c>
      <c r="BC20" s="131">
        <v>0</v>
      </c>
    </row>
    <row r="21" spans="1:55">
      <c r="A21" s="131" t="s">
        <v>472</v>
      </c>
      <c r="B21" s="131" t="s">
        <v>379</v>
      </c>
      <c r="C21" s="132">
        <v>45538.870690000003</v>
      </c>
      <c r="D21" s="131">
        <v>1</v>
      </c>
      <c r="E21" s="131">
        <v>16</v>
      </c>
      <c r="F21" s="131">
        <v>7</v>
      </c>
      <c r="G21" s="131">
        <v>16</v>
      </c>
      <c r="H21" s="137">
        <v>0.71</v>
      </c>
      <c r="I21" s="137">
        <v>0.42</v>
      </c>
      <c r="J21" s="137">
        <v>0.42</v>
      </c>
      <c r="K21" s="137">
        <v>0.46</v>
      </c>
      <c r="L21" s="137">
        <v>0.46</v>
      </c>
      <c r="M21" s="137">
        <v>0.71</v>
      </c>
      <c r="N21" s="137">
        <v>0.71</v>
      </c>
      <c r="T21" s="137">
        <v>0.65</v>
      </c>
      <c r="U21" s="137">
        <v>0.36</v>
      </c>
      <c r="V21" s="137">
        <v>0.36</v>
      </c>
      <c r="W21" s="137">
        <v>0.4</v>
      </c>
      <c r="X21" s="137">
        <v>0.4</v>
      </c>
      <c r="Y21" s="137">
        <v>0.65</v>
      </c>
      <c r="Z21" s="137">
        <v>0.65</v>
      </c>
      <c r="AF21" s="131" t="s">
        <v>388</v>
      </c>
      <c r="AG21" s="131" t="s">
        <v>382</v>
      </c>
      <c r="AH21" s="131" t="s">
        <v>384</v>
      </c>
      <c r="AI21" s="131" t="s">
        <v>383</v>
      </c>
      <c r="AJ21" s="131" t="s">
        <v>385</v>
      </c>
      <c r="AK21" s="131" t="s">
        <v>389</v>
      </c>
      <c r="AL21" s="131" t="s">
        <v>463</v>
      </c>
      <c r="AR21" s="131">
        <v>0</v>
      </c>
      <c r="AS21" s="131">
        <v>0</v>
      </c>
      <c r="AT21" s="131">
        <v>0</v>
      </c>
      <c r="AU21" s="131">
        <v>0</v>
      </c>
      <c r="AV21" s="131">
        <v>0</v>
      </c>
      <c r="AW21" s="131">
        <v>0</v>
      </c>
      <c r="AX21" s="131">
        <v>0</v>
      </c>
      <c r="AY21" s="131">
        <v>0</v>
      </c>
      <c r="AZ21" s="131">
        <v>0</v>
      </c>
      <c r="BA21" s="131">
        <v>0</v>
      </c>
      <c r="BB21" s="131">
        <v>0</v>
      </c>
      <c r="BC21" s="131">
        <v>0</v>
      </c>
    </row>
    <row r="22" spans="1:55">
      <c r="A22" s="131" t="s">
        <v>473</v>
      </c>
      <c r="B22" s="131" t="s">
        <v>379</v>
      </c>
      <c r="C22" s="132">
        <v>45548.996379999997</v>
      </c>
      <c r="D22" s="131">
        <v>2</v>
      </c>
      <c r="E22" s="131">
        <v>10</v>
      </c>
      <c r="F22" s="131">
        <v>1</v>
      </c>
      <c r="G22" s="131">
        <v>20</v>
      </c>
      <c r="H22" s="137">
        <v>0.47</v>
      </c>
      <c r="T22" s="137">
        <v>0.41</v>
      </c>
      <c r="AF22" s="131" t="s">
        <v>380</v>
      </c>
      <c r="AR22" s="131">
        <v>0</v>
      </c>
      <c r="AS22" s="131">
        <v>0</v>
      </c>
      <c r="AT22" s="131">
        <v>0</v>
      </c>
      <c r="AU22" s="131">
        <v>0</v>
      </c>
      <c r="AV22" s="131">
        <v>0</v>
      </c>
      <c r="AW22" s="131">
        <v>0</v>
      </c>
      <c r="AX22" s="131">
        <v>0</v>
      </c>
      <c r="AY22" s="131">
        <v>0</v>
      </c>
      <c r="AZ22" s="131">
        <v>0</v>
      </c>
      <c r="BA22" s="131">
        <v>0</v>
      </c>
      <c r="BB22" s="131">
        <v>0</v>
      </c>
      <c r="BC22" s="131">
        <v>0</v>
      </c>
    </row>
    <row r="23" spans="1:55">
      <c r="A23" s="131" t="s">
        <v>474</v>
      </c>
      <c r="B23" s="131" t="s">
        <v>379</v>
      </c>
      <c r="C23" s="132">
        <v>45546.187639999996</v>
      </c>
      <c r="D23" s="131">
        <v>2</v>
      </c>
      <c r="E23" s="131">
        <v>10</v>
      </c>
      <c r="F23" s="131">
        <v>5</v>
      </c>
      <c r="G23" s="131">
        <v>20</v>
      </c>
      <c r="H23" s="137">
        <v>0.45</v>
      </c>
      <c r="I23" s="137">
        <v>0.53</v>
      </c>
      <c r="J23" s="137">
        <v>0.53</v>
      </c>
      <c r="K23" s="137">
        <v>0.53</v>
      </c>
      <c r="L23" s="137">
        <v>0.53</v>
      </c>
      <c r="T23" s="137">
        <v>0.39</v>
      </c>
      <c r="U23" s="137">
        <v>0.4</v>
      </c>
      <c r="V23" s="137">
        <v>0.4</v>
      </c>
      <c r="W23" s="137">
        <v>0.4</v>
      </c>
      <c r="X23" s="137">
        <v>0.4</v>
      </c>
      <c r="AF23" s="131" t="s">
        <v>380</v>
      </c>
      <c r="AG23" s="131" t="s">
        <v>383</v>
      </c>
      <c r="AH23" s="131" t="s">
        <v>385</v>
      </c>
      <c r="AI23" s="131" t="s">
        <v>382</v>
      </c>
      <c r="AJ23" s="131" t="s">
        <v>384</v>
      </c>
      <c r="AR23" s="131">
        <v>-0.01</v>
      </c>
      <c r="AS23" s="131">
        <v>0</v>
      </c>
      <c r="AT23" s="131">
        <v>0</v>
      </c>
      <c r="AU23" s="131">
        <v>0</v>
      </c>
      <c r="AV23" s="131">
        <v>0</v>
      </c>
      <c r="AW23" s="131">
        <v>0</v>
      </c>
      <c r="AX23" s="131">
        <v>0</v>
      </c>
      <c r="AY23" s="131">
        <v>0</v>
      </c>
      <c r="AZ23" s="131">
        <v>0</v>
      </c>
      <c r="BA23" s="131">
        <v>0</v>
      </c>
      <c r="BB23" s="131">
        <v>0</v>
      </c>
      <c r="BC23" s="131">
        <v>0</v>
      </c>
    </row>
    <row r="24" spans="1:55">
      <c r="A24" s="131" t="s">
        <v>475</v>
      </c>
      <c r="B24" s="131" t="s">
        <v>379</v>
      </c>
      <c r="C24" s="132">
        <v>45542.395819999998</v>
      </c>
      <c r="D24" s="131">
        <v>4</v>
      </c>
      <c r="E24" s="131">
        <v>12</v>
      </c>
      <c r="F24" s="131">
        <v>3</v>
      </c>
      <c r="G24" s="131">
        <v>48</v>
      </c>
      <c r="H24" s="137">
        <v>0.39</v>
      </c>
      <c r="I24" s="137">
        <v>0.62</v>
      </c>
      <c r="J24" s="137">
        <v>0.62</v>
      </c>
      <c r="T24" s="137">
        <v>0.33</v>
      </c>
      <c r="U24" s="137">
        <v>0.56000000000000005</v>
      </c>
      <c r="V24" s="137">
        <v>0.56000000000000005</v>
      </c>
      <c r="AF24" s="131" t="s">
        <v>380</v>
      </c>
      <c r="AG24" s="131" t="s">
        <v>391</v>
      </c>
      <c r="AH24" s="131" t="s">
        <v>392</v>
      </c>
      <c r="AR24" s="131">
        <v>0</v>
      </c>
      <c r="AS24" s="131">
        <v>0</v>
      </c>
      <c r="AT24" s="131">
        <v>0</v>
      </c>
      <c r="AU24" s="131">
        <v>0</v>
      </c>
      <c r="AV24" s="131">
        <v>0</v>
      </c>
      <c r="AW24" s="131">
        <v>0</v>
      </c>
      <c r="AX24" s="131">
        <v>0</v>
      </c>
      <c r="AY24" s="131">
        <v>0</v>
      </c>
      <c r="AZ24" s="131">
        <v>0</v>
      </c>
      <c r="BA24" s="131">
        <v>0</v>
      </c>
      <c r="BB24" s="131">
        <v>0</v>
      </c>
      <c r="BC24" s="131">
        <v>0</v>
      </c>
    </row>
    <row r="25" spans="1:55">
      <c r="A25" s="131" t="s">
        <v>476</v>
      </c>
      <c r="B25" s="131" t="s">
        <v>379</v>
      </c>
      <c r="C25" s="132">
        <v>45469.386120000003</v>
      </c>
      <c r="D25" s="131">
        <v>1</v>
      </c>
      <c r="E25" s="131">
        <v>12</v>
      </c>
      <c r="F25" s="131">
        <v>4</v>
      </c>
      <c r="G25" s="131">
        <v>12</v>
      </c>
      <c r="H25" s="137">
        <v>0.52</v>
      </c>
      <c r="I25" s="137">
        <v>0.68</v>
      </c>
      <c r="J25" s="137">
        <v>0.68</v>
      </c>
      <c r="K25" s="137">
        <v>0.81</v>
      </c>
      <c r="T25" s="137">
        <v>0.44</v>
      </c>
      <c r="U25" s="137">
        <v>0.6</v>
      </c>
      <c r="V25" s="137">
        <v>0.6</v>
      </c>
      <c r="W25" s="137">
        <v>0.73</v>
      </c>
      <c r="AF25" s="131" t="s">
        <v>392</v>
      </c>
      <c r="AG25" s="131" t="s">
        <v>385</v>
      </c>
      <c r="AH25" s="131" t="s">
        <v>383</v>
      </c>
      <c r="AI25" s="131" t="s">
        <v>380</v>
      </c>
      <c r="AR25" s="131">
        <v>0</v>
      </c>
      <c r="AS25" s="131">
        <v>0</v>
      </c>
      <c r="AT25" s="131">
        <v>0</v>
      </c>
      <c r="AU25" s="131">
        <v>0</v>
      </c>
      <c r="AV25" s="131">
        <v>0</v>
      </c>
      <c r="AW25" s="131">
        <v>0</v>
      </c>
      <c r="AX25" s="131">
        <v>0</v>
      </c>
      <c r="AY25" s="131">
        <v>0</v>
      </c>
      <c r="AZ25" s="131">
        <v>0</v>
      </c>
      <c r="BA25" s="131">
        <v>0</v>
      </c>
      <c r="BB25" s="131">
        <v>0</v>
      </c>
      <c r="BC25" s="131">
        <v>0</v>
      </c>
    </row>
    <row r="26" spans="1:55">
      <c r="A26" s="131" t="s">
        <v>477</v>
      </c>
      <c r="B26" s="131" t="s">
        <v>379</v>
      </c>
      <c r="C26" s="132">
        <v>45536.310799999999</v>
      </c>
      <c r="D26" s="131">
        <v>1</v>
      </c>
      <c r="E26" s="131">
        <v>16</v>
      </c>
      <c r="F26" s="131">
        <v>1</v>
      </c>
      <c r="G26" s="131">
        <v>16</v>
      </c>
      <c r="H26" s="137">
        <v>0.71</v>
      </c>
      <c r="T26" s="137">
        <v>0.65</v>
      </c>
      <c r="AF26" s="131" t="s">
        <v>389</v>
      </c>
      <c r="AR26" s="131">
        <v>0</v>
      </c>
      <c r="AS26" s="131">
        <v>0</v>
      </c>
      <c r="AT26" s="131">
        <v>0</v>
      </c>
      <c r="AU26" s="131">
        <v>0</v>
      </c>
      <c r="AV26" s="131">
        <v>0</v>
      </c>
      <c r="AW26" s="131">
        <v>0</v>
      </c>
      <c r="AX26" s="131">
        <v>0</v>
      </c>
      <c r="AY26" s="131">
        <v>0</v>
      </c>
      <c r="AZ26" s="131">
        <v>0</v>
      </c>
      <c r="BA26" s="131">
        <v>0</v>
      </c>
      <c r="BB26" s="131">
        <v>0</v>
      </c>
      <c r="BC26" s="131">
        <v>0</v>
      </c>
    </row>
    <row r="27" spans="1:55">
      <c r="A27" s="131" t="s">
        <v>478</v>
      </c>
      <c r="B27" s="131" t="s">
        <v>379</v>
      </c>
      <c r="C27" s="132">
        <v>45526.676330000002</v>
      </c>
      <c r="D27" s="131">
        <v>1</v>
      </c>
      <c r="E27" s="131">
        <v>24</v>
      </c>
      <c r="F27" s="131">
        <v>5</v>
      </c>
      <c r="G27" s="131">
        <v>24</v>
      </c>
      <c r="H27" s="137">
        <v>0.62</v>
      </c>
      <c r="I27" s="137">
        <v>0.52</v>
      </c>
      <c r="J27" s="137">
        <v>0.51</v>
      </c>
      <c r="K27" s="137">
        <v>0.52</v>
      </c>
      <c r="L27" s="137">
        <v>0.52</v>
      </c>
      <c r="T27" s="137">
        <v>0.52</v>
      </c>
      <c r="U27" s="137">
        <v>0.42</v>
      </c>
      <c r="V27" s="137">
        <v>0.41</v>
      </c>
      <c r="W27" s="137">
        <v>0.42</v>
      </c>
      <c r="X27" s="137">
        <v>0.42</v>
      </c>
      <c r="AF27" s="131" t="s">
        <v>380</v>
      </c>
      <c r="AG27" s="131" t="s">
        <v>382</v>
      </c>
      <c r="AH27" s="131" t="s">
        <v>383</v>
      </c>
      <c r="AI27" s="131" t="s">
        <v>385</v>
      </c>
      <c r="AJ27" s="131" t="s">
        <v>384</v>
      </c>
      <c r="AR27" s="131">
        <v>0</v>
      </c>
      <c r="AS27" s="131">
        <v>0</v>
      </c>
      <c r="AT27" s="131">
        <v>0</v>
      </c>
      <c r="AU27" s="131">
        <v>0</v>
      </c>
      <c r="AV27" s="131">
        <v>0</v>
      </c>
      <c r="AW27" s="131">
        <v>0</v>
      </c>
      <c r="AX27" s="131">
        <v>0</v>
      </c>
      <c r="AY27" s="131">
        <v>0</v>
      </c>
      <c r="AZ27" s="131">
        <v>0</v>
      </c>
      <c r="BA27" s="131">
        <v>0</v>
      </c>
      <c r="BB27" s="131">
        <v>0</v>
      </c>
      <c r="BC27" s="131">
        <v>0</v>
      </c>
    </row>
    <row r="28" spans="1:55">
      <c r="A28" s="131" t="s">
        <v>479</v>
      </c>
      <c r="B28" s="131" t="s">
        <v>379</v>
      </c>
      <c r="C28" s="132">
        <v>45527.586600000002</v>
      </c>
      <c r="D28" s="131">
        <v>9</v>
      </c>
      <c r="E28" s="131">
        <v>6</v>
      </c>
      <c r="F28" s="131">
        <v>6</v>
      </c>
      <c r="G28" s="131">
        <v>54</v>
      </c>
      <c r="H28" s="137">
        <v>0.47499999999999998</v>
      </c>
      <c r="I28" s="137">
        <v>0.47</v>
      </c>
      <c r="J28" s="137">
        <v>0.61</v>
      </c>
      <c r="K28" s="137">
        <v>0.47499999999999998</v>
      </c>
      <c r="L28" s="137">
        <v>0.47</v>
      </c>
      <c r="M28" s="137">
        <v>0.61</v>
      </c>
      <c r="T28" s="137">
        <v>0.41499999999999998</v>
      </c>
      <c r="U28" s="137">
        <v>0.41</v>
      </c>
      <c r="V28" s="137">
        <v>0.51</v>
      </c>
      <c r="W28" s="137">
        <v>0.41499999999999998</v>
      </c>
      <c r="X28" s="137">
        <v>0.41</v>
      </c>
      <c r="Y28" s="137">
        <v>0.51</v>
      </c>
      <c r="AF28" s="131" t="s">
        <v>385</v>
      </c>
      <c r="AG28" s="131" t="s">
        <v>384</v>
      </c>
      <c r="AH28" s="131" t="s">
        <v>389</v>
      </c>
      <c r="AI28" s="131" t="s">
        <v>383</v>
      </c>
      <c r="AJ28" s="131" t="s">
        <v>382</v>
      </c>
      <c r="AK28" s="131" t="s">
        <v>388</v>
      </c>
      <c r="AR28" s="131">
        <v>0</v>
      </c>
      <c r="AS28" s="131">
        <v>0</v>
      </c>
      <c r="AT28" s="131">
        <v>0</v>
      </c>
      <c r="AU28" s="131">
        <v>0</v>
      </c>
      <c r="AV28" s="131">
        <v>0</v>
      </c>
      <c r="AW28" s="131">
        <v>0</v>
      </c>
      <c r="AX28" s="131">
        <v>0</v>
      </c>
      <c r="AY28" s="131">
        <v>0</v>
      </c>
      <c r="AZ28" s="131">
        <v>0</v>
      </c>
      <c r="BA28" s="131">
        <v>0</v>
      </c>
      <c r="BB28" s="131">
        <v>0</v>
      </c>
      <c r="BC28" s="131">
        <v>0</v>
      </c>
    </row>
    <row r="29" spans="1:55">
      <c r="A29" s="131" t="s">
        <v>480</v>
      </c>
      <c r="B29" s="131" t="s">
        <v>379</v>
      </c>
      <c r="C29" s="132">
        <v>45449.147989999998</v>
      </c>
      <c r="D29" s="131">
        <v>27</v>
      </c>
      <c r="E29" s="131">
        <v>2</v>
      </c>
      <c r="F29" s="131">
        <v>6</v>
      </c>
      <c r="G29" s="131">
        <v>54</v>
      </c>
      <c r="H29" s="137">
        <v>0.71499999999999997</v>
      </c>
      <c r="I29" s="137">
        <v>0.52</v>
      </c>
      <c r="J29" s="137">
        <v>0.56000000000000005</v>
      </c>
      <c r="K29" s="137">
        <v>0.56000000000000005</v>
      </c>
      <c r="L29" s="137">
        <v>0.52</v>
      </c>
      <c r="M29" s="137">
        <v>0.71499999999999997</v>
      </c>
      <c r="T29" s="137">
        <v>0.66</v>
      </c>
      <c r="U29" s="137">
        <v>0.46</v>
      </c>
      <c r="V29" s="137">
        <v>0.5</v>
      </c>
      <c r="W29" s="137">
        <v>0.5</v>
      </c>
      <c r="X29" s="137">
        <v>0.46</v>
      </c>
      <c r="Y29" s="137">
        <v>0.66</v>
      </c>
      <c r="AF29" s="131" t="s">
        <v>389</v>
      </c>
      <c r="AG29" s="131" t="s">
        <v>384</v>
      </c>
      <c r="AH29" s="131" t="s">
        <v>385</v>
      </c>
      <c r="AI29" s="131" t="s">
        <v>383</v>
      </c>
      <c r="AJ29" s="131" t="s">
        <v>382</v>
      </c>
      <c r="AK29" s="131" t="s">
        <v>388</v>
      </c>
      <c r="AR29" s="131">
        <v>0</v>
      </c>
      <c r="AS29" s="131">
        <v>0</v>
      </c>
      <c r="AT29" s="131">
        <v>0</v>
      </c>
      <c r="AU29" s="131">
        <v>0</v>
      </c>
      <c r="AV29" s="131">
        <v>0</v>
      </c>
      <c r="AW29" s="131">
        <v>0</v>
      </c>
      <c r="AX29" s="131">
        <v>0</v>
      </c>
      <c r="AY29" s="131">
        <v>0</v>
      </c>
      <c r="AZ29" s="131">
        <v>0</v>
      </c>
      <c r="BA29" s="131">
        <v>0</v>
      </c>
      <c r="BB29" s="131">
        <v>0</v>
      </c>
      <c r="BC29" s="131">
        <v>0</v>
      </c>
    </row>
    <row r="30" spans="1:55">
      <c r="A30" s="131" t="s">
        <v>481</v>
      </c>
      <c r="B30" s="131" t="s">
        <v>379</v>
      </c>
      <c r="C30" s="132">
        <v>45512.753960000002</v>
      </c>
      <c r="D30" s="131">
        <v>12</v>
      </c>
      <c r="E30" s="131">
        <v>3</v>
      </c>
      <c r="F30" s="131">
        <v>5</v>
      </c>
      <c r="G30" s="131">
        <v>36</v>
      </c>
      <c r="H30" s="137">
        <v>0.41</v>
      </c>
      <c r="I30" s="137">
        <v>0.51</v>
      </c>
      <c r="J30" s="137">
        <v>0.51</v>
      </c>
      <c r="K30" s="137">
        <v>0.51</v>
      </c>
      <c r="L30" s="137">
        <v>0.51</v>
      </c>
      <c r="T30" s="137">
        <v>0.35</v>
      </c>
      <c r="U30" s="137">
        <v>0.45</v>
      </c>
      <c r="V30" s="137">
        <v>0.45</v>
      </c>
      <c r="W30" s="137">
        <v>0.45</v>
      </c>
      <c r="X30" s="137">
        <v>0.45</v>
      </c>
      <c r="AF30" s="131" t="s">
        <v>380</v>
      </c>
      <c r="AG30" s="131" t="s">
        <v>385</v>
      </c>
      <c r="AH30" s="131" t="s">
        <v>383</v>
      </c>
      <c r="AI30" s="131" t="s">
        <v>384</v>
      </c>
      <c r="AJ30" s="131" t="s">
        <v>382</v>
      </c>
      <c r="AR30" s="131">
        <v>0</v>
      </c>
      <c r="AS30" s="131">
        <v>0</v>
      </c>
      <c r="AT30" s="131">
        <v>0</v>
      </c>
      <c r="AU30" s="131">
        <v>0</v>
      </c>
      <c r="AV30" s="131">
        <v>0</v>
      </c>
      <c r="AW30" s="131">
        <v>0</v>
      </c>
      <c r="AX30" s="131">
        <v>0</v>
      </c>
      <c r="AY30" s="131">
        <v>0</v>
      </c>
      <c r="AZ30" s="131">
        <v>0</v>
      </c>
      <c r="BA30" s="131">
        <v>0</v>
      </c>
      <c r="BB30" s="131">
        <v>0</v>
      </c>
      <c r="BC30" s="131">
        <v>0</v>
      </c>
    </row>
    <row r="31" spans="1:55">
      <c r="A31" s="131" t="s">
        <v>482</v>
      </c>
      <c r="B31" s="131" t="s">
        <v>379</v>
      </c>
      <c r="C31" s="132">
        <v>45441.601759999998</v>
      </c>
      <c r="D31" s="131">
        <v>1</v>
      </c>
      <c r="E31" s="131">
        <v>10</v>
      </c>
      <c r="F31" s="131">
        <v>5</v>
      </c>
      <c r="G31" s="131">
        <v>10</v>
      </c>
      <c r="H31" s="137">
        <v>0.49</v>
      </c>
      <c r="I31" s="137">
        <v>0.78</v>
      </c>
      <c r="J31" s="137">
        <v>0.78</v>
      </c>
      <c r="K31" s="137">
        <v>0.78</v>
      </c>
      <c r="L31" s="137">
        <v>0.78</v>
      </c>
      <c r="T31" s="137">
        <v>0.43</v>
      </c>
      <c r="U31" s="137">
        <v>0.69</v>
      </c>
      <c r="V31" s="137">
        <v>0.69</v>
      </c>
      <c r="W31" s="137">
        <v>0.69</v>
      </c>
      <c r="X31" s="137">
        <v>0.69</v>
      </c>
      <c r="AF31" s="131" t="s">
        <v>380</v>
      </c>
      <c r="AG31" s="131" t="s">
        <v>383</v>
      </c>
      <c r="AH31" s="131" t="s">
        <v>385</v>
      </c>
      <c r="AI31" s="131" t="s">
        <v>382</v>
      </c>
      <c r="AJ31" s="131" t="s">
        <v>384</v>
      </c>
      <c r="AR31" s="131">
        <v>0</v>
      </c>
      <c r="AS31" s="131">
        <v>0</v>
      </c>
      <c r="AT31" s="131">
        <v>0</v>
      </c>
      <c r="AU31" s="131">
        <v>0</v>
      </c>
      <c r="AV31" s="131">
        <v>0</v>
      </c>
      <c r="AW31" s="131">
        <v>0</v>
      </c>
      <c r="AX31" s="131">
        <v>0</v>
      </c>
      <c r="AY31" s="131">
        <v>0</v>
      </c>
      <c r="AZ31" s="131">
        <v>0</v>
      </c>
      <c r="BA31" s="131">
        <v>0</v>
      </c>
      <c r="BB31" s="131">
        <v>0</v>
      </c>
      <c r="BC31" s="131">
        <v>0</v>
      </c>
    </row>
    <row r="32" spans="1:55">
      <c r="A32" s="131" t="s">
        <v>483</v>
      </c>
      <c r="B32" s="131" t="s">
        <v>379</v>
      </c>
      <c r="C32" s="132">
        <v>45462.798239999996</v>
      </c>
      <c r="D32" s="131">
        <v>3</v>
      </c>
      <c r="E32" s="131">
        <v>6</v>
      </c>
      <c r="F32" s="131">
        <v>2</v>
      </c>
      <c r="G32" s="131">
        <v>18</v>
      </c>
      <c r="H32" s="137">
        <v>0.65</v>
      </c>
      <c r="I32" s="137">
        <v>0.65</v>
      </c>
      <c r="T32" s="137">
        <v>0.45</v>
      </c>
      <c r="U32" s="137">
        <v>0.45</v>
      </c>
      <c r="AF32" s="131" t="s">
        <v>397</v>
      </c>
      <c r="AG32" s="131" t="s">
        <v>398</v>
      </c>
      <c r="AR32" s="131">
        <v>0</v>
      </c>
      <c r="AS32" s="131">
        <v>0</v>
      </c>
      <c r="AT32" s="131">
        <v>0</v>
      </c>
      <c r="AU32" s="131">
        <v>0</v>
      </c>
      <c r="AV32" s="131">
        <v>0</v>
      </c>
      <c r="AW32" s="131">
        <v>0</v>
      </c>
      <c r="AX32" s="131">
        <v>0</v>
      </c>
      <c r="AY32" s="131">
        <v>0</v>
      </c>
      <c r="AZ32" s="131">
        <v>0</v>
      </c>
      <c r="BA32" s="131">
        <v>0</v>
      </c>
      <c r="BB32" s="131">
        <v>0</v>
      </c>
      <c r="BC32" s="131">
        <v>0</v>
      </c>
    </row>
    <row r="33" spans="1:55">
      <c r="A33" s="131" t="s">
        <v>484</v>
      </c>
      <c r="B33" s="131" t="s">
        <v>379</v>
      </c>
      <c r="C33" s="132">
        <v>45467.571210000002</v>
      </c>
      <c r="D33" s="131">
        <v>1</v>
      </c>
      <c r="E33" s="131">
        <v>10</v>
      </c>
      <c r="F33" s="131">
        <v>5</v>
      </c>
      <c r="G33" s="131">
        <v>10</v>
      </c>
      <c r="H33" s="137">
        <v>0.68</v>
      </c>
      <c r="I33" s="137">
        <v>0.42</v>
      </c>
      <c r="J33" s="137">
        <v>0.42</v>
      </c>
      <c r="K33" s="137">
        <v>0.71499999999999997</v>
      </c>
      <c r="L33" s="137">
        <v>0.71499999999999997</v>
      </c>
      <c r="T33" s="137">
        <v>0.6</v>
      </c>
      <c r="U33" s="137">
        <v>0.34</v>
      </c>
      <c r="V33" s="137">
        <v>0.34</v>
      </c>
      <c r="W33" s="137">
        <v>0.63500000000000001</v>
      </c>
      <c r="X33" s="137">
        <v>0.63500000000000001</v>
      </c>
      <c r="AF33" s="131" t="s">
        <v>380</v>
      </c>
      <c r="AG33" s="131" t="s">
        <v>382</v>
      </c>
      <c r="AH33" s="131" t="s">
        <v>384</v>
      </c>
      <c r="AI33" s="131" t="s">
        <v>383</v>
      </c>
      <c r="AJ33" s="131" t="s">
        <v>385</v>
      </c>
      <c r="AR33" s="131">
        <v>0</v>
      </c>
      <c r="AS33" s="131">
        <v>0</v>
      </c>
      <c r="AT33" s="131">
        <v>0</v>
      </c>
      <c r="AU33" s="131">
        <v>0</v>
      </c>
      <c r="AV33" s="131">
        <v>0</v>
      </c>
      <c r="AW33" s="131">
        <v>0</v>
      </c>
      <c r="AX33" s="131">
        <v>0</v>
      </c>
      <c r="AY33" s="131">
        <v>0</v>
      </c>
      <c r="AZ33" s="131">
        <v>0</v>
      </c>
      <c r="BA33" s="131">
        <v>0</v>
      </c>
      <c r="BB33" s="131">
        <v>0</v>
      </c>
      <c r="BC33" s="131">
        <v>0</v>
      </c>
    </row>
    <row r="34" spans="1:55">
      <c r="A34" s="131" t="s">
        <v>485</v>
      </c>
      <c r="B34" s="131" t="s">
        <v>379</v>
      </c>
      <c r="C34" s="132">
        <v>45461.046190000001</v>
      </c>
      <c r="D34" s="131">
        <v>1</v>
      </c>
      <c r="E34" s="131">
        <v>10</v>
      </c>
      <c r="F34" s="131">
        <v>2</v>
      </c>
      <c r="G34" s="131">
        <v>10</v>
      </c>
      <c r="H34" s="137">
        <v>0.74</v>
      </c>
      <c r="I34" s="137">
        <v>0.74</v>
      </c>
      <c r="T34" s="137">
        <v>0.66</v>
      </c>
      <c r="U34" s="137">
        <v>0.66</v>
      </c>
      <c r="AF34" s="131" t="s">
        <v>383</v>
      </c>
      <c r="AG34" s="131" t="s">
        <v>385</v>
      </c>
      <c r="AR34" s="131">
        <v>0</v>
      </c>
      <c r="AS34" s="131">
        <v>0</v>
      </c>
      <c r="AT34" s="131">
        <v>0</v>
      </c>
      <c r="AU34" s="131">
        <v>0</v>
      </c>
      <c r="AV34" s="131">
        <v>0</v>
      </c>
      <c r="AW34" s="131">
        <v>0</v>
      </c>
      <c r="AX34" s="131">
        <v>0</v>
      </c>
      <c r="AY34" s="131">
        <v>0</v>
      </c>
      <c r="AZ34" s="131">
        <v>0</v>
      </c>
      <c r="BA34" s="131">
        <v>0</v>
      </c>
      <c r="BB34" s="131">
        <v>0</v>
      </c>
      <c r="BC34" s="131">
        <v>0</v>
      </c>
    </row>
    <row r="35" spans="1:55">
      <c r="A35" s="131" t="s">
        <v>486</v>
      </c>
      <c r="B35" s="131" t="s">
        <v>379</v>
      </c>
      <c r="C35" s="132">
        <v>45378.561520000003</v>
      </c>
      <c r="D35" s="131">
        <v>10</v>
      </c>
      <c r="E35" s="131">
        <v>4</v>
      </c>
      <c r="F35" s="131">
        <v>5</v>
      </c>
      <c r="G35" s="131">
        <v>40</v>
      </c>
      <c r="H35" s="137">
        <v>0.63</v>
      </c>
      <c r="I35" s="137">
        <v>0.5</v>
      </c>
      <c r="J35" s="137">
        <v>0.5</v>
      </c>
      <c r="K35" s="137">
        <v>0.5</v>
      </c>
      <c r="L35" s="137">
        <v>0.5</v>
      </c>
      <c r="T35" s="137">
        <v>0.55000000000000004</v>
      </c>
      <c r="U35" s="137">
        <v>0.42</v>
      </c>
      <c r="V35" s="137">
        <v>0.42</v>
      </c>
      <c r="W35" s="137">
        <v>0.42</v>
      </c>
      <c r="X35" s="137">
        <v>0.42</v>
      </c>
      <c r="AF35" s="131" t="s">
        <v>380</v>
      </c>
      <c r="AG35" s="131" t="s">
        <v>384</v>
      </c>
      <c r="AH35" s="131" t="s">
        <v>385</v>
      </c>
      <c r="AI35" s="131" t="s">
        <v>383</v>
      </c>
      <c r="AJ35" s="131" t="s">
        <v>382</v>
      </c>
      <c r="AR35" s="131">
        <v>0</v>
      </c>
      <c r="AS35" s="131">
        <v>0</v>
      </c>
      <c r="AT35" s="131">
        <v>0</v>
      </c>
      <c r="AU35" s="131">
        <v>0</v>
      </c>
      <c r="AV35" s="131">
        <v>0</v>
      </c>
      <c r="AW35" s="131">
        <v>0</v>
      </c>
      <c r="AX35" s="131">
        <v>0</v>
      </c>
      <c r="AY35" s="131">
        <v>0</v>
      </c>
      <c r="AZ35" s="131">
        <v>0</v>
      </c>
      <c r="BA35" s="131">
        <v>0</v>
      </c>
      <c r="BB35" s="131">
        <v>0</v>
      </c>
      <c r="BC35" s="131">
        <v>0</v>
      </c>
    </row>
    <row r="36" spans="1:55">
      <c r="A36" s="131" t="s">
        <v>487</v>
      </c>
      <c r="B36" s="131" t="s">
        <v>379</v>
      </c>
      <c r="C36" s="132">
        <v>45458.55616</v>
      </c>
      <c r="D36" s="131">
        <v>1</v>
      </c>
      <c r="E36" s="131">
        <v>10</v>
      </c>
      <c r="F36" s="131">
        <v>4</v>
      </c>
      <c r="G36" s="131">
        <v>10</v>
      </c>
      <c r="H36" s="137">
        <v>0.68</v>
      </c>
      <c r="I36" s="137">
        <v>0.42</v>
      </c>
      <c r="J36" s="137">
        <v>0.71499999999999997</v>
      </c>
      <c r="K36" s="137">
        <v>0.71499999999999997</v>
      </c>
      <c r="T36" s="137">
        <v>0.6</v>
      </c>
      <c r="U36" s="137">
        <v>0.34</v>
      </c>
      <c r="V36" s="137">
        <v>0.63500000000000001</v>
      </c>
      <c r="W36" s="137">
        <v>0.63500000000000001</v>
      </c>
      <c r="AF36" s="131" t="s">
        <v>380</v>
      </c>
      <c r="AG36" s="131" t="s">
        <v>392</v>
      </c>
      <c r="AH36" s="131" t="s">
        <v>383</v>
      </c>
      <c r="AI36" s="131" t="s">
        <v>385</v>
      </c>
      <c r="AR36" s="131">
        <v>0</v>
      </c>
      <c r="AS36" s="131">
        <v>0</v>
      </c>
      <c r="AT36" s="131">
        <v>0</v>
      </c>
      <c r="AU36" s="131">
        <v>0</v>
      </c>
      <c r="AV36" s="131">
        <v>0</v>
      </c>
      <c r="AW36" s="131">
        <v>0</v>
      </c>
      <c r="AX36" s="131">
        <v>0</v>
      </c>
      <c r="AY36" s="131">
        <v>0</v>
      </c>
      <c r="AZ36" s="131">
        <v>0</v>
      </c>
      <c r="BA36" s="131">
        <v>0</v>
      </c>
      <c r="BB36" s="131">
        <v>0</v>
      </c>
      <c r="BC36" s="131">
        <v>0</v>
      </c>
    </row>
    <row r="1048575" spans="16383:16383">
      <c r="XFC1048575" s="131" t="s">
        <v>488</v>
      </c>
    </row>
  </sheetData>
  <sheetProtection password="CCA1" sheet="1" objects="1" scenario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0070C0"/>
  </sheetPr>
  <dimension ref="B1:G21"/>
  <sheetViews>
    <sheetView showGridLines="0" zoomScaleNormal="100" zoomScaleSheetLayoutView="100" workbookViewId="0">
      <selection activeCell="D24" sqref="D24"/>
    </sheetView>
  </sheetViews>
  <sheetFormatPr defaultRowHeight="13.5"/>
  <cols>
    <col min="1" max="1" width="1.140625" style="75" customWidth="1"/>
    <col min="2" max="3" width="10" style="75" customWidth="1"/>
    <col min="4" max="7" width="33" style="75" customWidth="1"/>
    <col min="8" max="8" width="1.140625" style="75" customWidth="1"/>
    <col min="9" max="16384" width="9.140625" style="75"/>
  </cols>
  <sheetData>
    <row r="1" spans="2:7" ht="6" customHeight="1"/>
    <row r="2" spans="2:7" ht="28.5" customHeight="1">
      <c r="B2" s="111" t="s">
        <v>490</v>
      </c>
      <c r="C2" s="111"/>
      <c r="D2" s="119" t="s">
        <v>51</v>
      </c>
      <c r="E2" s="76" t="s">
        <v>52</v>
      </c>
      <c r="F2" s="76" t="s">
        <v>53</v>
      </c>
      <c r="G2" s="76" t="s">
        <v>54</v>
      </c>
    </row>
    <row r="3" spans="2:7" ht="28.5" customHeight="1">
      <c r="B3" s="111"/>
      <c r="C3" s="111"/>
      <c r="D3" s="119"/>
      <c r="E3" s="76"/>
      <c r="F3" s="76"/>
      <c r="G3" s="76"/>
    </row>
    <row r="4" spans="2:7" ht="28.5" customHeight="1">
      <c r="B4" s="111"/>
      <c r="C4" s="111"/>
      <c r="D4" s="119"/>
      <c r="E4" s="79"/>
      <c r="F4" s="79"/>
      <c r="G4" s="79"/>
    </row>
    <row r="5" spans="2:7" ht="28.5" customHeight="1">
      <c r="B5" s="111" t="s">
        <v>0</v>
      </c>
      <c r="C5" s="111"/>
      <c r="D5" s="31" t="s">
        <v>55</v>
      </c>
      <c r="E5" s="72" t="s">
        <v>222</v>
      </c>
      <c r="F5" s="30" t="s">
        <v>56</v>
      </c>
      <c r="G5" s="30" t="s">
        <v>37</v>
      </c>
    </row>
    <row r="6" spans="2:7" ht="107.25" customHeight="1">
      <c r="B6" s="112" t="s">
        <v>215</v>
      </c>
      <c r="C6" s="113"/>
      <c r="D6" s="78"/>
      <c r="E6" s="78"/>
      <c r="F6" s="78"/>
      <c r="G6" s="78"/>
    </row>
    <row r="7" spans="2:7" ht="28.5" customHeight="1">
      <c r="B7" s="129" t="s">
        <v>216</v>
      </c>
      <c r="C7" s="130"/>
      <c r="D7" s="85" t="s">
        <v>218</v>
      </c>
      <c r="E7" s="85" t="s">
        <v>217</v>
      </c>
      <c r="F7" s="124" t="s">
        <v>219</v>
      </c>
      <c r="G7" s="116" t="s">
        <v>224</v>
      </c>
    </row>
    <row r="8" spans="2:7" ht="21" customHeight="1">
      <c r="B8" s="114" t="s">
        <v>316</v>
      </c>
      <c r="C8" s="115"/>
      <c r="D8" s="90"/>
      <c r="E8" s="90"/>
      <c r="F8" s="124"/>
      <c r="G8" s="117"/>
    </row>
    <row r="9" spans="2:7" ht="21" customHeight="1">
      <c r="B9" s="125" t="s">
        <v>11</v>
      </c>
      <c r="C9" s="126"/>
      <c r="D9" s="83"/>
      <c r="E9" s="83"/>
      <c r="F9" s="124"/>
      <c r="G9" s="117"/>
    </row>
    <row r="10" spans="2:7" ht="21" customHeight="1">
      <c r="B10" s="125" t="s">
        <v>12</v>
      </c>
      <c r="C10" s="126"/>
      <c r="D10" s="84"/>
      <c r="E10" s="84"/>
      <c r="F10" s="124"/>
      <c r="G10" s="117"/>
    </row>
    <row r="11" spans="2:7" ht="21" customHeight="1">
      <c r="B11" s="127" t="s">
        <v>1</v>
      </c>
      <c r="C11" s="128"/>
      <c r="D11" s="82">
        <f>MAX(D19:D20)</f>
        <v>0</v>
      </c>
      <c r="E11" s="82">
        <f>MAX(E19:E20)</f>
        <v>0</v>
      </c>
      <c r="F11" s="124"/>
      <c r="G11" s="117"/>
    </row>
    <row r="12" spans="2:7" ht="21" customHeight="1">
      <c r="B12" s="127" t="s">
        <v>2</v>
      </c>
      <c r="C12" s="128"/>
      <c r="D12" s="82">
        <f>MIN(D19:D20)</f>
        <v>0</v>
      </c>
      <c r="E12" s="82">
        <f>MIN(E19:E20)</f>
        <v>0</v>
      </c>
      <c r="F12" s="124"/>
      <c r="G12" s="117"/>
    </row>
    <row r="13" spans="2:7" ht="21" customHeight="1">
      <c r="B13" s="127" t="s">
        <v>3</v>
      </c>
      <c r="C13" s="128"/>
      <c r="D13" s="82" t="e">
        <f>AVERAGEA(D19:D20)</f>
        <v>#DIV/0!</v>
      </c>
      <c r="E13" s="82" t="e">
        <f>AVERAGEA(E19:E20)</f>
        <v>#DIV/0!</v>
      </c>
      <c r="F13" s="124"/>
      <c r="G13" s="117"/>
    </row>
    <row r="14" spans="2:7" s="73" customFormat="1" ht="21" customHeight="1">
      <c r="B14" s="120" t="s">
        <v>15</v>
      </c>
      <c r="C14" s="121"/>
      <c r="D14" s="74" t="e">
        <f>STDEV(D19:D20)</f>
        <v>#DIV/0!</v>
      </c>
      <c r="E14" s="74" t="e">
        <f>STDEV(E19:E20)</f>
        <v>#DIV/0!</v>
      </c>
      <c r="F14" s="124"/>
      <c r="G14" s="117"/>
    </row>
    <row r="15" spans="2:7" s="73" customFormat="1" ht="21" customHeight="1">
      <c r="B15" s="120" t="s">
        <v>16</v>
      </c>
      <c r="C15" s="121"/>
      <c r="D15" s="74" t="e">
        <f t="shared" ref="D15" si="0">(D9-D10)/(D14*6)</f>
        <v>#DIV/0!</v>
      </c>
      <c r="E15" s="74" t="e">
        <f t="shared" ref="E15" si="1">(E9-E10)/(E14*6)</f>
        <v>#DIV/0!</v>
      </c>
      <c r="F15" s="124"/>
      <c r="G15" s="117"/>
    </row>
    <row r="16" spans="2:7" s="73" customFormat="1" ht="21" customHeight="1">
      <c r="B16" s="120" t="s">
        <v>17</v>
      </c>
      <c r="C16" s="121"/>
      <c r="D16" s="74" t="e">
        <f>(D13-D10)/(D14*3)</f>
        <v>#DIV/0!</v>
      </c>
      <c r="E16" s="74" t="e">
        <f t="shared" ref="E16" si="2">(E13-E10)/(E14*3)</f>
        <v>#DIV/0!</v>
      </c>
      <c r="F16" s="124"/>
      <c r="G16" s="117"/>
    </row>
    <row r="17" spans="2:7" s="73" customFormat="1" ht="21" customHeight="1">
      <c r="B17" s="122" t="s">
        <v>18</v>
      </c>
      <c r="C17" s="123"/>
      <c r="D17" s="74" t="e">
        <f>(D9-D13)/(D14*3)</f>
        <v>#DIV/0!</v>
      </c>
      <c r="E17" s="74" t="e">
        <f t="shared" ref="E17" si="3">(E9-E13)/(E14*3)</f>
        <v>#DIV/0!</v>
      </c>
      <c r="F17" s="124"/>
      <c r="G17" s="117"/>
    </row>
    <row r="18" spans="2:7" s="73" customFormat="1" ht="21" customHeight="1">
      <c r="B18" s="80" t="s">
        <v>223</v>
      </c>
      <c r="C18" s="81">
        <v>1</v>
      </c>
      <c r="D18" s="86" t="e">
        <f>ABS(MIN(D15:D17))</f>
        <v>#DIV/0!</v>
      </c>
      <c r="E18" s="86" t="e">
        <f t="shared" ref="E18" si="4">ABS(MIN(E15:E17))</f>
        <v>#DIV/0!</v>
      </c>
      <c r="F18" s="124"/>
      <c r="G18" s="118"/>
    </row>
    <row r="19" spans="2:7" ht="21" customHeight="1">
      <c r="B19" s="76" t="s">
        <v>57</v>
      </c>
      <c r="C19" s="76" t="s">
        <v>220</v>
      </c>
      <c r="D19" s="77"/>
      <c r="E19" s="77"/>
      <c r="F19" s="91" t="str">
        <f>IF(AND(AND(D19&lt;=D$9,D19&gt;=D$10,E19&lt;=E$9,E19&gt;=E$10),COUNTA(D19:E19)=COUNT(D19:E19)),"OK","NG")</f>
        <v>OK</v>
      </c>
      <c r="G19" s="77" t="str">
        <f>IF(COUNTA(F19:F20)=COUNTIF(F19:F20,"OK"),"OK","NG")</f>
        <v>OK</v>
      </c>
    </row>
    <row r="20" spans="2:7" ht="21" customHeight="1">
      <c r="B20" s="92"/>
      <c r="C20" s="76" t="s">
        <v>221</v>
      </c>
      <c r="D20" s="77"/>
      <c r="E20" s="77"/>
      <c r="F20" s="91"/>
      <c r="G20" s="77"/>
    </row>
    <row r="21" spans="2:7" ht="6" customHeight="1"/>
  </sheetData>
  <mergeCells count="17">
    <mergeCell ref="B7:C7"/>
    <mergeCell ref="B5:C5"/>
    <mergeCell ref="B6:C6"/>
    <mergeCell ref="B8:C8"/>
    <mergeCell ref="B2:C4"/>
    <mergeCell ref="G7:G18"/>
    <mergeCell ref="D2:D4"/>
    <mergeCell ref="B14:C14"/>
    <mergeCell ref="B15:C15"/>
    <mergeCell ref="B16:C16"/>
    <mergeCell ref="B17:C17"/>
    <mergeCell ref="F7:F18"/>
    <mergeCell ref="B9:C9"/>
    <mergeCell ref="B10:C10"/>
    <mergeCell ref="B11:C11"/>
    <mergeCell ref="B12:C12"/>
    <mergeCell ref="B13:C13"/>
  </mergeCells>
  <conditionalFormatting sqref="D18:E18">
    <cfRule type="cellIs" dxfId="12" priority="21" operator="lessThan">
      <formula>$C$18</formula>
    </cfRule>
  </conditionalFormatting>
  <conditionalFormatting sqref="E19:E20">
    <cfRule type="cellIs" dxfId="11" priority="16" operator="greaterThan">
      <formula>E$9</formula>
    </cfRule>
    <cfRule type="cellIs" dxfId="10" priority="17" operator="lessThan">
      <formula>E$10</formula>
    </cfRule>
  </conditionalFormatting>
  <conditionalFormatting sqref="D11">
    <cfRule type="cellIs" dxfId="9" priority="13" operator="greaterThan">
      <formula>D$9</formula>
    </cfRule>
  </conditionalFormatting>
  <conditionalFormatting sqref="E11">
    <cfRule type="cellIs" dxfId="8" priority="10" operator="greaterThan">
      <formula>E$9</formula>
    </cfRule>
  </conditionalFormatting>
  <conditionalFormatting sqref="E12">
    <cfRule type="cellIs" dxfId="7" priority="8" operator="lessThan">
      <formula>E$10</formula>
    </cfRule>
  </conditionalFormatting>
  <conditionalFormatting sqref="D13">
    <cfRule type="cellIs" dxfId="6" priority="6" operator="lessThan">
      <formula>D$10</formula>
    </cfRule>
    <cfRule type="cellIs" dxfId="5" priority="7" operator="greaterThan">
      <formula>D$9</formula>
    </cfRule>
  </conditionalFormatting>
  <conditionalFormatting sqref="E13">
    <cfRule type="cellIs" dxfId="4" priority="4" operator="lessThan">
      <formula>E$10</formula>
    </cfRule>
    <cfRule type="cellIs" dxfId="3" priority="5" operator="greaterThan">
      <formula>E$9</formula>
    </cfRule>
  </conditionalFormatting>
  <conditionalFormatting sqref="F19:F20">
    <cfRule type="containsText" dxfId="2" priority="3" operator="containsText" text="NG">
      <formula>NOT(ISERROR(SEARCH("NG",F19)))</formula>
    </cfRule>
  </conditionalFormatting>
  <conditionalFormatting sqref="D19:D20">
    <cfRule type="cellIs" dxfId="1" priority="1" operator="greaterThan">
      <formula>D$9</formula>
    </cfRule>
    <cfRule type="cellIs" dxfId="0" priority="2" operator="lessThan">
      <formula>D$10</formula>
    </cfRule>
  </conditionalFormatting>
  <printOptions horizontalCentered="1"/>
  <pageMargins left="0" right="0" top="0" bottom="0" header="0" footer="0"/>
  <pageSetup paperSize="9" scale="55" orientation="portrait" r:id="rId1"/>
  <headerFooter>
    <oddFooter>&amp;R
BLD-QMD-P06-W01-F01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Coil</vt:lpstr>
      <vt:lpstr>Start</vt:lpstr>
      <vt:lpstr>ListSetupsolder</vt:lpstr>
      <vt:lpstr>ListSetup</vt:lpstr>
      <vt:lpstr>Solder</vt:lpstr>
      <vt:lpstr>Solder!Print_Area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BLDF2-04</dc:creator>
  <cp:lastModifiedBy>DELL</cp:lastModifiedBy>
  <cp:lastPrinted>2022-11-26T07:36:20Z</cp:lastPrinted>
  <dcterms:created xsi:type="dcterms:W3CDTF">2018-10-15T14:58:13Z</dcterms:created>
  <dcterms:modified xsi:type="dcterms:W3CDTF">2025-07-19T07:45:01Z</dcterms:modified>
</cp:coreProperties>
</file>