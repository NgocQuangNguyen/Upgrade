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<sst xmlns="http://schemas.openxmlformats.org/spreadsheetml/2006/main" count="788" uniqueCount="504">
  <si>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</si>
  <si>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</si>
  <si>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</si>
  <si>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</si>
  <si>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</si>
  <si>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</si>
  <si>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</si>
  <si>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</si>
  <si>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</si>
  <si>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</si>
  <si>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</si>
  <si>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</si>
  <si>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</si>
  <si>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</si>
  <si>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</si>
  <si>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</si>
  <si>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</si>
  <si>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</si>
  <si>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</si>
  <si>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</si>
  <si>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</si>
  <si>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</si>
  <si>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</si>
  <si>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</si>
  <si>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</si>
  <si>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</si>
  <si>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</si>
  <si>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</si>
  <si>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</si>
  <si>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</si>
  <si>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</si>
  <si>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</si>
  <si>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</si>
  <si>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</si>
  <si>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</si>
  <si>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</si>
  <si>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</si>
  <si>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</si>
  <si>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</si>
  <si>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</si>
  <si>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</si>
  <si>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</si>
  <si>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</si>
  <si>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</si>
  <si>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</si>
  <si>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</si>
  <si>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</si>
  <si>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</si>
  <si>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</si>
  <si>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</si>
  <si>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</si>
  <si>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</si>
  <si>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</si>
  <si>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</si>
  <si>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</si>
  <si>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</si>
  <si>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</si>
  <si>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</si>
  <si>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</si>
  <si>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</si>
  <si>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</si>
  <si>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</si>
  <si>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</si>
  <si>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</si>
  <si>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</si>
  <si>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</si>
  <si>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</si>
  <si>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</si>
  <si>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</si>
  <si>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</si>
  <si>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</si>
  <si>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</si>
  <si>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</si>
  <si>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</si>
  <si>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</si>
  <si>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</si>
  <si>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</si>
  <si>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</si>
  <si>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</si>
  <si>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</si>
  <si>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</si>
  <si>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</si>
  <si>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</si>
  <si>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</si>
  <si>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</si>
  <si>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</si>
  <si>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</si>
  <si>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</si>
  <si>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</si>
  <si>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</si>
  <si>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</si>
  <si>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</si>
  <si>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</si>
  <si>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</si>
  <si>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</si>
  <si>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</si>
  <si>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</si>
  <si>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</si>
  <si>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</si>
  <si>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</si>
  <si>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</si>
  <si>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</si>
  <si>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</si>
  <si>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</si>
  <si>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</si>
  <si>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</si>
  <si>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</si>
  <si>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</si>
  <si>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</si>
  <si>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</si>
  <si>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</si>
  <si>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</si>
  <si>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</si>
  <si>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</si>
  <si>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</si>
  <si>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</si>
  <si>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</si>
  <si>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</si>
  <si>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</si>
  <si>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</si>
  <si>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</si>
  <si>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</si>
  <si>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</si>
  <si>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</si>
  <si>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</si>
  <si>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</si>
  <si>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</si>
  <si>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</si>
  <si>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</si>
  <si>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</si>
  <si>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</si>
  <si>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</si>
  <si>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</si>
  <si>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</si>
  <si>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</si>
  <si>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</si>
  <si>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</si>
  <si>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</si>
  <si>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</si>
  <si>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</si>
  <si>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</si>
  <si>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</si>
  <si>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</si>
  <si>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</si>
  <si>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</si>
  <si>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</si>
  <si>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</si>
  <si>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</si>
  <si>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</si>
  <si>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</si>
  <si>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</si>
  <si>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</si>
  <si>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</si>
  <si>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</si>
  <si>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</si>
  <si>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</si>
  <si>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</si>
  <si>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</si>
  <si>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</si>
  <si>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</si>
  <si>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</si>
  <si>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</si>
  <si>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</si>
  <si>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</si>
  <si>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</si>
  <si>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</si>
  <si>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</si>
  <si>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</si>
  <si>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</si>
  <si>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</si>
  <si>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</si>
  <si>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</si>
  <si>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</si>
  <si>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</si>
  <si>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</si>
  <si>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</si>
  <si>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</si>
  <si>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</si>
  <si>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</si>
  <si>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</si>
  <si>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</si>
  <si>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</si>
  <si>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</si>
  <si>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</si>
  <si>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</si>
  <si>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</si>
  <si>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</si>
  <si>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</si>
  <si>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</si>
  <si>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</si>
  <si>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</si>
  <si>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</si>
  <si>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</si>
  <si>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</si>
  <si>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</si>
  <si>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</si>
  <si>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</si>
  <si>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</si>
  <si>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</si>
  <si>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</si>
  <si>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</si>
  <si>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</si>
  <si>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</si>
  <si>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</si>
  <si>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</si>
  <si>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</si>
  <si>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</si>
  <si>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</si>
  <si>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</si>
  <si>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</si>
  <si>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</si>
  <si>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</si>
  <si>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</si>
  <si>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</si>
  <si>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</si>
  <si>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</si>
  <si>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</si>
  <si>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</si>
  <si>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</si>
  <si>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</si>
  <si>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</si>
  <si>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</si>
  <si>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</si>
  <si>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</si>
  <si>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</si>
  <si>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</si>
  <si>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</si>
  <si>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</si>
  <si>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</si>
  <si>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</si>
  <si>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</si>
  <si>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</si>
  <si>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</si>
  <si>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</si>
  <si>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</si>
  <si>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</si>
  <si>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</si>
  <si>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</si>
  <si>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</si>
  <si>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</si>
  <si>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</si>
  <si>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</si>
  <si>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</si>
  <si>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</si>
  <si>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</si>
  <si>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</si>
  <si>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</si>
  <si>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</si>
  <si>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</si>
  <si>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</si>
  <si>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</si>
  <si>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</si>
  <si>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</si>
  <si>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</si>
  <si>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</si>
  <si>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</si>
  <si>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</si>
  <si>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</si>
  <si>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</si>
  <si>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</si>
  <si>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</si>
  <si>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</si>
  <si>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</si>
  <si>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</si>
  <si>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</si>
  <si>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</si>
  <si>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</si>
  <si>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</si>
  <si>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</si>
  <si>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</si>
  <si>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</si>
  <si>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</si>
  <si>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</si>
  <si>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</si>
  <si>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</si>
  <si>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</si>
  <si>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</si>
  <si>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</si>
  <si>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</si>
  <si>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</si>
  <si>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</si>
  <si>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</si>
  <si>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</si>
  <si>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</si>
  <si>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</si>
  <si>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</si>
  <si>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</si>
  <si>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</si>
  <si>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</si>
  <si>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</si>
  <si>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</si>
  <si>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</si>
  <si>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</si>
  <si>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</si>
  <si>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</si>
  <si>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</si>
  <si>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</si>
  <si>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</si>
  <si>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</si>
  <si>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</si>
  <si>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</si>
  <si>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</si>
  <si>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</si>
  <si>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</si>
  <si>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</si>
  <si>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</si>
  <si>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</si>
  <si>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</si>
  <si>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</si>
  <si>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</si>
  <si>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</si>
  <si>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</si>
  <si>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</si>
  <si>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</si>
  <si>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</si>
  <si>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</si>
  <si>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</si>
  <si>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</si>
  <si>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</si>
  <si>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</si>
  <si>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</si>
  <si>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</si>
  <si>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</si>
  <si>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</si>
  <si>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</si>
  <si>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</si>
  <si>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</si>
  <si>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</si>
  <si>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</si>
  <si>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</si>
  <si>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</si>
  <si>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</si>
  <si>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</si>
  <si>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</si>
  <si>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</si>
  <si>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</si>
  <si>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</si>
  <si>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</si>
  <si>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</si>
  <si>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</si>
  <si>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</si>
  <si>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</si>
  <si>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</si>
  <si>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</si>
  <si>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</si>
  <si>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</si>
  <si>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</si>
  <si>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</si>
  <si>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</si>
  <si>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</si>
  <si>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</si>
  <si>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</si>
  <si>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</si>
  <si>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</si>
  <si>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</si>
  <si>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</si>
  <si>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</si>
  <si>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</si>
  <si>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</si>
  <si>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</si>
  <si>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</si>
  <si>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</si>
  <si>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</si>
  <si>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</si>
  <si>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</si>
  <si>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</si>
  <si>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</si>
  <si>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</si>
  <si>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</si>
  <si>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</si>
  <si>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</si>
  <si>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</si>
  <si>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</si>
  <si>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</si>
  <si>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</si>
  <si>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</si>
  <si>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</si>
  <si>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</si>
  <si>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</si>
  <si>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</si>
  <si>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</si>
  <si>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</si>
  <si>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</si>
  <si>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</si>
  <si>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</si>
  <si>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</si>
  <si>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</si>
  <si>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</si>
  <si>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</si>
  <si>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</si>
  <si>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</si>
  <si>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</si>
  <si>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</si>
  <si>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</si>
  <si>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</si>
  <si>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</si>
  <si>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</si>
  <si>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</si>
  <si>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</si>
  <si>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</si>
  <si>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</si>
  <si>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</si>
  <si>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</si>
  <si>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</si>
  <si>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</si>
  <si>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</si>
  <si>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</si>
  <si>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</si>
  <si>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</si>
  <si>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</si>
  <si>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</si>
  <si>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</si>
  <si>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</si>
  <si>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</si>
  <si>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</si>
  <si>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</si>
  <si>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</si>
  <si>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</si>
  <si>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</si>
  <si>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</si>
  <si>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</si>
  <si>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</si>
  <si>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</si>
  <si>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</si>
  <si>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</si>
  <si>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</si>
  <si>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</si>
  <si>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</si>
  <si>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</si>
  <si>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</si>
  <si>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</si>
  <si>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</si>
  <si>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</si>
  <si>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</si>
  <si>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</si>
  <si>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</si>
  <si>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</si>
  <si>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</si>
  <si>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</si>
  <si>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</si>
  <si>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</si>
  <si>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</si>
  <si>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</si>
  <si>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</si>
  <si>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</si>
  <si>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</si>
  <si>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</si>
  <si>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</si>
  <si>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</si>
  <si>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</si>
  <si>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</si>
  <si>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</si>
  <si>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</si>
  <si>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</si>
  <si>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</si>
  <si>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</si>
  <si>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</si>
  <si>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</si>
  <si>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</si>
  <si>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</si>
  <si>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</si>
  <si>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</si>
  <si>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</si>
  <si>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</si>
  <si>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</si>
  <si>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</si>
  <si>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</si>
  <si>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</si>
  <si>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</si>
  <si>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</si>
  <si>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</si>
  <si>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</si>
  <si>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</si>
  <si>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</si>
  <si>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</si>
  <si>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</si>
  <si>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</si>
  <si>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</si>
  <si>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</si>
  <si>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</si>
  <si>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</si>
  <si>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</si>
  <si>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</si>
  <si>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</si>
  <si>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</si>
  <si>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</si>
  <si>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</si>
  <si>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</si>
  <si>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</si>
  <si>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</si>
  <si>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</si>
  <si>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</si>
  <si>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</si>
  <si>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</si>
  <si>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</si>
  <si>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</si>
  <si>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</si>
  <si>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</si>
  <si>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</si>
  <si>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>SOLDER ZERO PAD</t>
  </si>
  <si>
    <t xml:space="preserve"> 10-Oct-2025</t>
  </si>
  <si>
    <t>VALUE</t>
  </si>
  <si>
    <t>D</t>
  </si>
  <si>
    <t xml:space="preserve"> 10-Oct-2025 03 02 33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</si>
</sst>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15" fontId="39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1" t="str">
        <f>C13&amp;"~"&amp;C12&amp;" mm"</f>
        <v>~ mm</v>
      </c>
      <c r="D9" s="112"/>
      <c r="E9" s="112"/>
      <c r="F9" s="113"/>
      <c r="G9" s="111" t="str">
        <f>G13&amp;"~"&amp;G12&amp;" mm"</f>
        <v>~ mm</v>
      </c>
      <c r="H9" s="112"/>
      <c r="I9" s="112"/>
      <c r="J9" s="113"/>
    </row>
    <row r="10" spans="1:10" ht="41.25" customHeight="1" thickBot="1">
      <c r="B10" s="118"/>
      <c r="C10" s="114"/>
      <c r="D10" s="114"/>
      <c r="E10" s="114"/>
      <c r="F10" s="114"/>
      <c r="G10" s="115"/>
      <c r="H10" s="116"/>
      <c r="I10" s="116"/>
      <c r="J10" s="117"/>
    </row>
    <row r="11" spans="1:10" ht="12.75" customHeight="1">
      <c r="B11" s="119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501</v>
      </c>
      <c r="D1" s="26"/>
      <c r="E1" s="28" t="s">
        <v>426</v>
      </c>
      <c r="F1" s="28" t="s">
        <v>155</v>
      </c>
      <c r="G1" s="25" t="s">
        <v>154</v>
      </c>
      <c r="H1" s="25">
        <v>1</v>
      </c>
      <c r="I1" s="29" t="s">
        <v>500</v>
      </c>
      <c r="J1" s="25" t="s">
        <v>144</v>
      </c>
      <c r="K1" s="25" t="s">
        <v>503</v>
      </c>
      <c r="L1" s="25" t="s">
        <v>502</v>
      </c>
    </row>
    <row r="2" spans="1:12">
      <c r="A2" s="19">
        <v>1</v>
      </c>
      <c r="C2" s="20" t="str">
        <f>IF(AND(A2&lt;&gt;"",B2&lt;&gt;""),IF(OR(A2&lt;0.002,B2-A2&lt;0),"NG Zero Set",ROUNDUP(B2-A2,3)),"")</f>
        <v/>
      </c>
      <c r="D2" s="26"/>
      <c r="H2" s="19"/>
    </row>
    <row r="3" spans="1:12">
      <c r="A3" s="19">
        <v>1</v>
      </c>
      <c r="C3" s="20" t="str">
        <f t="shared" ref="C3:C66" si="0">IF(AND(A3&lt;&gt;"",B3&lt;&gt;""),IF(OR(A3&lt;0.002,B3-A3&lt;0),"NG Zero Set",ROUNDUP(B3-A3,3)),"")</f>
        <v/>
      </c>
      <c r="D3" s="26"/>
      <c r="F3" s="19"/>
      <c r="G3" s="19"/>
      <c r="H3" s="19"/>
    </row>
    <row r="4" spans="1:12">
      <c r="A4" s="19">
        <v>1</v>
      </c>
      <c r="C4" s="20" t="str">
        <f t="shared" si="0"/>
        <v/>
      </c>
      <c r="D4" s="26"/>
      <c r="G4" s="23"/>
      <c r="H4" s="19"/>
    </row>
    <row r="5" spans="1:12">
      <c r="A5" s="19">
        <v>1</v>
      </c>
      <c r="C5" s="20" t="str">
        <f t="shared" si="0"/>
        <v/>
      </c>
      <c r="D5" s="26"/>
      <c r="F5" s="23"/>
      <c r="G5" s="23"/>
      <c r="H5" s="19"/>
    </row>
    <row r="6" spans="1:12">
      <c r="A6" s="19">
        <v>1</v>
      </c>
      <c r="C6" s="20" t="str">
        <f t="shared" si="0"/>
        <v/>
      </c>
      <c r="D6" s="26"/>
      <c r="E6"/>
      <c r="F6" s="23"/>
      <c r="G6" s="23"/>
      <c r="H6" s="19"/>
    </row>
    <row r="7" spans="1:12" ht="13.5" customHeight="1">
      <c r="A7" s="19">
        <v>1</v>
      </c>
      <c r="C7" s="20" t="str">
        <f t="shared" si="0"/>
        <v/>
      </c>
      <c r="D7" s="26"/>
      <c r="E7"/>
      <c r="F7" s="23"/>
      <c r="G7" s="23"/>
      <c r="H7" s="19"/>
    </row>
    <row r="8" spans="1:12">
      <c r="A8" s="19">
        <v>1</v>
      </c>
      <c r="C8" s="20" t="str">
        <f t="shared" si="0"/>
        <v/>
      </c>
      <c r="D8" s="26"/>
      <c r="E8"/>
      <c r="F8" s="23"/>
      <c r="G8" s="23"/>
      <c r="H8" s="19"/>
      <c r="K8" s="24"/>
    </row>
    <row r="9" spans="1:12">
      <c r="A9" s="19">
        <v>1</v>
      </c>
      <c r="C9" s="20" t="str">
        <f t="shared" si="0"/>
        <v/>
      </c>
      <c r="D9" s="26"/>
      <c r="E9"/>
      <c r="F9" s="23"/>
      <c r="G9" s="23"/>
      <c r="H9" s="19"/>
    </row>
    <row r="10" spans="1:12">
      <c r="A10" s="19">
        <v>1</v>
      </c>
      <c r="C10" s="20" t="str">
        <f t="shared" si="0"/>
        <v/>
      </c>
      <c r="D10" s="26"/>
      <c r="E10"/>
      <c r="F10" s="23"/>
      <c r="G10" s="23"/>
      <c r="H10" s="19"/>
    </row>
    <row r="11" spans="1:12">
      <c r="A11" s="19">
        <v>1</v>
      </c>
      <c r="C11" s="20" t="str">
        <f t="shared" si="0"/>
        <v/>
      </c>
      <c r="D11" s="26"/>
      <c r="E11"/>
      <c r="F11" s="23"/>
      <c r="G11" s="23"/>
      <c r="H11" s="19"/>
    </row>
    <row r="12" spans="1:12">
      <c r="A12" s="19">
        <v>1</v>
      </c>
      <c r="C12" s="20" t="str">
        <f t="shared" si="0"/>
        <v/>
      </c>
      <c r="D12" s="26"/>
      <c r="E12"/>
      <c r="F12" s="23"/>
      <c r="G12" s="23"/>
      <c r="H12" s="19"/>
    </row>
    <row r="13" spans="1:12">
      <c r="A13" s="19">
        <v>1</v>
      </c>
      <c r="C13" s="20" t="str">
        <f t="shared" si="0"/>
        <v/>
      </c>
      <c r="D13" s="26"/>
      <c r="E13"/>
      <c r="F13" s="23"/>
      <c r="G13" s="23"/>
      <c r="H13" s="19"/>
    </row>
    <row r="14" spans="1:12">
      <c r="A14" s="19">
        <v>1</v>
      </c>
      <c r="C14" s="20" t="str">
        <f t="shared" si="0"/>
        <v/>
      </c>
      <c r="D14" s="26"/>
      <c r="G14" s="23"/>
      <c r="H14" s="23"/>
      <c r="I14" s="19"/>
    </row>
    <row r="15" spans="1:12">
      <c r="A15" s="19">
        <v>1</v>
      </c>
      <c r="C15" s="20" t="str">
        <f t="shared" si="0"/>
        <v/>
      </c>
      <c r="D15" s="26"/>
      <c r="G15" s="23"/>
      <c r="H15" s="23"/>
      <c r="I15" s="19"/>
    </row>
    <row r="16" spans="1:12">
      <c r="A16" s="19">
        <v>1</v>
      </c>
      <c r="C16" s="20" t="str">
        <f t="shared" si="0"/>
        <v/>
      </c>
      <c r="D16" s="26"/>
      <c r="G16" s="23"/>
      <c r="H16" s="23"/>
      <c r="I16" s="19"/>
    </row>
    <row r="17" spans="1:9">
      <c r="A17" s="19">
        <v>1</v>
      </c>
      <c r="C17" s="20" t="str">
        <f t="shared" si="0"/>
        <v/>
      </c>
      <c r="D17" s="26"/>
      <c r="G17" s="23"/>
      <c r="H17" s="23"/>
      <c r="I17" s="19"/>
    </row>
    <row r="18" spans="1:9">
      <c r="A18" s="19">
        <v>1</v>
      </c>
      <c r="C18" s="20" t="str">
        <f t="shared" si="0"/>
        <v/>
      </c>
      <c r="D18" s="26"/>
      <c r="G18" s="23"/>
      <c r="H18" s="23"/>
      <c r="I18" s="19"/>
    </row>
    <row r="19" spans="1:9">
      <c r="A19" s="19">
        <v>1</v>
      </c>
      <c r="C19" s="20" t="str">
        <f t="shared" si="0"/>
        <v/>
      </c>
      <c r="D19" s="26"/>
      <c r="G19" s="23"/>
      <c r="H19" s="23"/>
      <c r="I19" s="19"/>
    </row>
    <row r="20" spans="1:9">
      <c r="A20" s="19">
        <v>1</v>
      </c>
      <c r="C20" s="20" t="str">
        <f t="shared" si="0"/>
        <v/>
      </c>
      <c r="D20" s="26"/>
      <c r="G20" s="23"/>
      <c r="H20" s="23"/>
      <c r="I20" s="19"/>
    </row>
    <row r="21" spans="1:9">
      <c r="A21" s="19">
        <v>1</v>
      </c>
      <c r="C21" s="20" t="str">
        <f t="shared" si="0"/>
        <v/>
      </c>
      <c r="D21" s="26"/>
      <c r="G21" s="23"/>
      <c r="H21" s="23"/>
      <c r="I21" s="19"/>
    </row>
    <row r="22" spans="1:9">
      <c r="A22" s="19">
        <v>1</v>
      </c>
      <c r="C22" s="20" t="str">
        <f t="shared" si="0"/>
        <v/>
      </c>
      <c r="D22" s="26"/>
      <c r="G22" s="23"/>
      <c r="H22" s="23"/>
      <c r="I22" s="19"/>
    </row>
    <row r="23" spans="1:9">
      <c r="A23" s="19">
        <v>1</v>
      </c>
      <c r="C23" s="20" t="str">
        <f t="shared" si="0"/>
        <v/>
      </c>
      <c r="D23" s="26"/>
      <c r="G23" s="23"/>
      <c r="H23" s="23"/>
      <c r="I23" s="19"/>
    </row>
    <row r="24" spans="1:9">
      <c r="A24" s="19">
        <v>1</v>
      </c>
      <c r="C24" s="20" t="str">
        <f t="shared" si="0"/>
        <v/>
      </c>
      <c r="D24" s="26"/>
      <c r="G24" s="23"/>
      <c r="H24" s="23"/>
      <c r="I24" s="19"/>
    </row>
    <row r="25" spans="1:9">
      <c r="A25" s="19">
        <v>1</v>
      </c>
      <c r="C25" s="20" t="str">
        <f t="shared" si="0"/>
        <v/>
      </c>
      <c r="D25" s="26"/>
      <c r="G25" s="23"/>
      <c r="H25" s="23"/>
      <c r="I25" s="19"/>
    </row>
    <row r="26" spans="1:9">
      <c r="A26" s="19">
        <v>1</v>
      </c>
      <c r="C26" s="20" t="str">
        <f t="shared" si="0"/>
        <v/>
      </c>
      <c r="D26" s="26"/>
      <c r="G26" s="23"/>
      <c r="H26" s="23"/>
      <c r="I26" s="19"/>
    </row>
    <row r="27" spans="1:9">
      <c r="A27" s="19">
        <v>1</v>
      </c>
      <c r="C27" s="20" t="str">
        <f t="shared" si="0"/>
        <v/>
      </c>
      <c r="D27" s="26"/>
      <c r="G27" s="23"/>
      <c r="H27" s="23"/>
      <c r="I27" s="19"/>
    </row>
    <row r="28" spans="1:9">
      <c r="A28" s="19">
        <v>1</v>
      </c>
      <c r="C28" s="20" t="str">
        <f t="shared" si="0"/>
        <v/>
      </c>
      <c r="D28" s="26"/>
      <c r="G28" s="23"/>
      <c r="H28" s="23"/>
      <c r="I28" s="19"/>
    </row>
    <row r="29" spans="1:9">
      <c r="A29" s="19">
        <v>1</v>
      </c>
      <c r="C29" s="20" t="str">
        <f t="shared" si="0"/>
        <v/>
      </c>
      <c r="D29" s="26"/>
      <c r="G29" s="23"/>
      <c r="H29" s="23"/>
      <c r="I29" s="19"/>
    </row>
    <row r="30" spans="1:9">
      <c r="A30" s="19">
        <v>1</v>
      </c>
      <c r="C30" s="20" t="str">
        <f t="shared" si="0"/>
        <v/>
      </c>
      <c r="D30" s="26"/>
    </row>
    <row r="31" spans="1:9">
      <c r="A31" s="19">
        <v>1</v>
      </c>
      <c r="C31" s="20" t="str">
        <f t="shared" si="0"/>
        <v/>
      </c>
      <c r="D31" s="26"/>
    </row>
    <row r="32" spans="1:9">
      <c r="A32" s="19">
        <v>1</v>
      </c>
      <c r="C32" s="20" t="str">
        <f t="shared" si="0"/>
        <v/>
      </c>
      <c r="D32" s="26"/>
    </row>
    <row r="33" spans="1:4">
      <c r="A33" s="19">
        <v>1</v>
      </c>
      <c r="C33" s="20" t="str">
        <f t="shared" si="0"/>
        <v/>
      </c>
      <c r="D33" s="26"/>
    </row>
    <row r="34" spans="1:4">
      <c r="A34" s="19">
        <v>1</v>
      </c>
      <c r="C34" s="20" t="str">
        <f t="shared" si="0"/>
        <v/>
      </c>
      <c r="D34" s="26"/>
    </row>
    <row r="35" spans="1:4">
      <c r="A35" s="19">
        <v>1</v>
      </c>
      <c r="C35" s="20" t="str">
        <f t="shared" si="0"/>
        <v/>
      </c>
      <c r="D35" s="26"/>
    </row>
    <row r="36" spans="1:4">
      <c r="A36" s="19">
        <v>1</v>
      </c>
      <c r="C36" s="20" t="str">
        <f t="shared" si="0"/>
        <v/>
      </c>
      <c r="D36" s="26"/>
    </row>
    <row r="37" spans="1:4">
      <c r="A37" s="19">
        <v>1</v>
      </c>
      <c r="C37" s="20" t="str">
        <f t="shared" si="0"/>
        <v/>
      </c>
      <c r="D37" s="26"/>
    </row>
    <row r="38" spans="1:4">
      <c r="A38" s="19">
        <v>1</v>
      </c>
      <c r="C38" s="20" t="str">
        <f t="shared" si="0"/>
        <v/>
      </c>
      <c r="D38" s="26"/>
    </row>
    <row r="39" spans="1:4">
      <c r="A39" s="19">
        <v>1</v>
      </c>
      <c r="C39" s="20" t="str">
        <f t="shared" si="0"/>
        <v/>
      </c>
      <c r="D39" s="26"/>
    </row>
    <row r="40" spans="1:4">
      <c r="A40" s="19">
        <v>1</v>
      </c>
      <c r="C40" s="20" t="str">
        <f t="shared" si="0"/>
        <v/>
      </c>
      <c r="D40" s="26"/>
    </row>
    <row r="41" spans="1:4">
      <c r="A41" s="19">
        <v>1</v>
      </c>
      <c r="C41" s="20" t="str">
        <f t="shared" si="0"/>
        <v/>
      </c>
      <c r="D41" s="26"/>
    </row>
    <row r="42" spans="1:4">
      <c r="A42" s="19">
        <v>1</v>
      </c>
      <c r="C42" s="20" t="str">
        <f t="shared" si="0"/>
        <v/>
      </c>
      <c r="D42" s="26"/>
    </row>
    <row r="43" spans="1:4">
      <c r="A43" s="19">
        <v>1</v>
      </c>
      <c r="C43" s="20" t="str">
        <f t="shared" si="0"/>
        <v/>
      </c>
      <c r="D43" s="26"/>
    </row>
    <row r="44" spans="1:4">
      <c r="A44" s="19">
        <v>1</v>
      </c>
      <c r="C44" s="20" t="str">
        <f t="shared" si="0"/>
        <v/>
      </c>
      <c r="D44" s="26"/>
    </row>
    <row r="45" spans="1:4">
      <c r="A45" s="19">
        <v>1</v>
      </c>
      <c r="C45" s="20" t="str">
        <f t="shared" si="0"/>
        <v/>
      </c>
      <c r="D45" s="26"/>
    </row>
    <row r="46" spans="1:4">
      <c r="A46" s="19">
        <v>1</v>
      </c>
      <c r="C46" s="20" t="str">
        <f t="shared" si="0"/>
        <v/>
      </c>
      <c r="D46" s="26"/>
    </row>
    <row r="47" spans="1:4">
      <c r="A47" s="19">
        <v>1</v>
      </c>
      <c r="C47" s="20" t="str">
        <f t="shared" si="0"/>
        <v/>
      </c>
      <c r="D47" s="26"/>
    </row>
    <row r="48" spans="1:4">
      <c r="A48" s="19">
        <v>1</v>
      </c>
      <c r="C48" s="20" t="str">
        <f t="shared" si="0"/>
        <v/>
      </c>
      <c r="D48" s="26"/>
    </row>
    <row r="49" spans="1:4">
      <c r="A49" s="19">
        <v>1</v>
      </c>
      <c r="C49" s="20" t="str">
        <f t="shared" si="0"/>
        <v/>
      </c>
      <c r="D49" s="26"/>
    </row>
    <row r="50" spans="1:4">
      <c r="A50" s="19">
        <v>1</v>
      </c>
      <c r="C50" s="20" t="str">
        <f t="shared" si="0"/>
        <v/>
      </c>
      <c r="D50" s="26"/>
    </row>
    <row r="51" spans="1:4">
      <c r="A51" s="19">
        <v>1</v>
      </c>
      <c r="C51" s="20" t="str">
        <f t="shared" si="0"/>
        <v/>
      </c>
      <c r="D51" s="26"/>
    </row>
    <row r="52" spans="1:4">
      <c r="A52" s="19">
        <v>1</v>
      </c>
      <c r="C52" s="20" t="str">
        <f t="shared" si="0"/>
        <v/>
      </c>
      <c r="D52" s="26"/>
    </row>
    <row r="53" spans="1:4">
      <c r="A53" s="19">
        <v>1</v>
      </c>
      <c r="C53" s="20" t="str">
        <f t="shared" si="0"/>
        <v/>
      </c>
      <c r="D53" s="26"/>
    </row>
    <row r="54" spans="1:4">
      <c r="A54" s="19">
        <v>1</v>
      </c>
      <c r="C54" s="20" t="str">
        <f t="shared" si="0"/>
        <v/>
      </c>
      <c r="D54" s="26"/>
    </row>
    <row r="55" spans="1:4">
      <c r="A55" s="19">
        <v>1</v>
      </c>
      <c r="C55" s="20" t="str">
        <f t="shared" si="0"/>
        <v/>
      </c>
      <c r="D55" s="26"/>
    </row>
    <row r="56" spans="1:4">
      <c r="A56" s="19">
        <v>1</v>
      </c>
      <c r="C56" s="20" t="str">
        <f t="shared" si="0"/>
        <v/>
      </c>
      <c r="D56" s="26"/>
    </row>
    <row r="57" spans="1:4">
      <c r="A57" s="19">
        <v>1</v>
      </c>
      <c r="C57" s="20" t="str">
        <f t="shared" si="0"/>
        <v/>
      </c>
      <c r="D57" s="26"/>
    </row>
    <row r="58" spans="1:4">
      <c r="A58" s="19">
        <v>1</v>
      </c>
      <c r="C58" s="20" t="str">
        <f t="shared" si="0"/>
        <v/>
      </c>
      <c r="D58" s="26"/>
    </row>
    <row r="59" spans="1:4">
      <c r="A59" s="19">
        <v>1</v>
      </c>
      <c r="C59" s="20" t="str">
        <f t="shared" si="0"/>
        <v/>
      </c>
      <c r="D59" s="26"/>
    </row>
    <row r="60" spans="1:4">
      <c r="A60" s="19">
        <v>1</v>
      </c>
      <c r="C60" s="20" t="str">
        <f t="shared" si="0"/>
        <v/>
      </c>
      <c r="D60" s="26"/>
    </row>
    <row r="61" spans="1:4">
      <c r="A61" s="19">
        <v>1</v>
      </c>
      <c r="C61" s="20" t="str">
        <f t="shared" si="0"/>
        <v/>
      </c>
      <c r="D61" s="26"/>
    </row>
    <row r="62" spans="1:4">
      <c r="A62" s="19">
        <v>1</v>
      </c>
      <c r="C62" s="20" t="str">
        <f t="shared" si="0"/>
        <v/>
      </c>
      <c r="D62" s="26"/>
    </row>
    <row r="63" spans="1:4">
      <c r="A63" s="19">
        <v>1</v>
      </c>
      <c r="C63" s="20" t="str">
        <f t="shared" si="0"/>
        <v/>
      </c>
      <c r="D63" s="26"/>
    </row>
    <row r="64" spans="1:4">
      <c r="A64" s="19">
        <v>1</v>
      </c>
      <c r="C64" s="20" t="str">
        <f t="shared" si="0"/>
        <v/>
      </c>
      <c r="D64" s="26"/>
    </row>
    <row r="65" spans="1:4">
      <c r="A65" s="19">
        <v>1</v>
      </c>
      <c r="C65" s="20" t="str">
        <f t="shared" si="0"/>
        <v/>
      </c>
      <c r="D65" s="26"/>
    </row>
    <row r="66" spans="1:4">
      <c r="A66" s="19">
        <v>1</v>
      </c>
      <c r="C66" s="20" t="str">
        <f t="shared" si="0"/>
        <v/>
      </c>
      <c r="D66" s="26"/>
    </row>
    <row r="67" spans="1:4">
      <c r="A67" s="19">
        <v>1</v>
      </c>
      <c r="C67" s="20" t="str">
        <f t="shared" ref="C67:C73" si="1">IF(AND(A67&lt;&gt;"",B67&lt;&gt;""),IF(OR(A67&lt;0.002,B67-A67&lt;0),"NG Zero Set",ROUNDUP(B67-A67,3)),"")</f>
        <v/>
      </c>
      <c r="D67" s="26"/>
    </row>
    <row r="68" spans="1:4">
      <c r="A68" s="19">
        <v>1</v>
      </c>
      <c r="C68" s="20" t="str">
        <f t="shared" si="1"/>
        <v/>
      </c>
      <c r="D68" s="26"/>
    </row>
    <row r="69" spans="1:4">
      <c r="A69" s="19">
        <v>1</v>
      </c>
      <c r="C69" s="20" t="str">
        <f t="shared" si="1"/>
        <v/>
      </c>
      <c r="D69" s="26"/>
    </row>
    <row r="70" spans="1:4">
      <c r="A70" s="19">
        <v>1</v>
      </c>
      <c r="C70" s="20" t="str">
        <f t="shared" si="1"/>
        <v/>
      </c>
      <c r="D70" s="26"/>
    </row>
    <row r="71" spans="1:4">
      <c r="A71" s="19">
        <v>1</v>
      </c>
      <c r="C71" s="20" t="str">
        <f t="shared" si="1"/>
        <v/>
      </c>
      <c r="D71" s="26"/>
    </row>
    <row r="72" spans="1:4">
      <c r="A72" s="19">
        <v>1</v>
      </c>
      <c r="C72" s="20" t="str">
        <f t="shared" si="1"/>
        <v/>
      </c>
      <c r="D72" s="26"/>
    </row>
    <row r="73" spans="1:4">
      <c r="A73" s="19">
        <v>1</v>
      </c>
      <c r="C73" s="20" t="str">
        <f t="shared" si="1"/>
        <v/>
      </c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110" t="s">
        <v>500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495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498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499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496</v>
      </c>
      <c r="BN14" s="98" t="s">
        <v>497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39" t="s">
        <v>490</v>
      </c>
      <c r="C2" s="139"/>
      <c r="D2" s="127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39"/>
      <c r="C3" s="139"/>
      <c r="D3" s="127"/>
      <c r="E3" s="76"/>
      <c r="F3" s="76"/>
      <c r="G3" s="76"/>
    </row>
    <row r="4" spans="2:7" ht="28.5" customHeight="1">
      <c r="B4" s="139"/>
      <c r="C4" s="139"/>
      <c r="D4" s="127"/>
      <c r="E4" s="79"/>
      <c r="F4" s="79"/>
      <c r="G4" s="79"/>
    </row>
    <row r="5" spans="2:7" ht="28.5" customHeight="1">
      <c r="B5" s="139" t="s">
        <v>0</v>
      </c>
      <c r="C5" s="139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40" t="s">
        <v>215</v>
      </c>
      <c r="C6" s="141"/>
      <c r="D6" s="78"/>
      <c r="E6" s="78"/>
      <c r="F6" s="78"/>
      <c r="G6" s="78"/>
    </row>
    <row r="7" spans="2:7" ht="28.5" customHeight="1">
      <c r="B7" s="137" t="s">
        <v>216</v>
      </c>
      <c r="C7" s="138"/>
      <c r="D7" s="85" t="s">
        <v>218</v>
      </c>
      <c r="E7" s="85" t="s">
        <v>217</v>
      </c>
      <c r="F7" s="132" t="s">
        <v>219</v>
      </c>
      <c r="G7" s="124" t="s">
        <v>224</v>
      </c>
    </row>
    <row r="8" spans="2:7" ht="21" customHeight="1">
      <c r="B8" s="142" t="s">
        <v>316</v>
      </c>
      <c r="C8" s="143"/>
      <c r="D8" s="90"/>
      <c r="E8" s="90"/>
      <c r="F8" s="132"/>
      <c r="G8" s="125"/>
    </row>
    <row r="9" spans="2:7" ht="21" customHeight="1">
      <c r="B9" s="133" t="s">
        <v>11</v>
      </c>
      <c r="C9" s="134"/>
      <c r="D9" s="83"/>
      <c r="E9" s="83"/>
      <c r="F9" s="132"/>
      <c r="G9" s="125"/>
    </row>
    <row r="10" spans="2:7" ht="21" customHeight="1">
      <c r="B10" s="133" t="s">
        <v>12</v>
      </c>
      <c r="C10" s="134"/>
      <c r="D10" s="84"/>
      <c r="E10" s="84"/>
      <c r="F10" s="132"/>
      <c r="G10" s="125"/>
    </row>
    <row r="11" spans="2:7" ht="21" customHeight="1">
      <c r="B11" s="135" t="s">
        <v>1</v>
      </c>
      <c r="C11" s="136"/>
      <c r="D11" s="82">
        <f>MAX(D19:D20)</f>
        <v>0</v>
      </c>
      <c r="E11" s="82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82">
        <f>MIN(D19:D20)</f>
        <v>0</v>
      </c>
      <c r="E12" s="82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82" t="e">
        <f>AVERAGEA(D19:D20)</f>
        <v>#DIV/0!</v>
      </c>
      <c r="E13" s="82" t="e">
        <f>AVERAGEA(E19:E20)</f>
        <v>#DIV/0!</v>
      </c>
      <c r="F13" s="132"/>
      <c r="G13" s="125"/>
    </row>
    <row r="14" spans="2:7" s="73" customFormat="1" ht="21" customHeight="1">
      <c r="B14" s="128" t="s">
        <v>15</v>
      </c>
      <c r="C14" s="129"/>
      <c r="D14" s="74" t="e">
        <f>STDEV(D19:D20)</f>
        <v>#DIV/0!</v>
      </c>
      <c r="E14" s="74" t="e">
        <f>STDEV(E19:E20)</f>
        <v>#DIV/0!</v>
      </c>
      <c r="F14" s="132"/>
      <c r="G14" s="125"/>
    </row>
    <row r="15" spans="2:7" s="73" customFormat="1" ht="21" customHeight="1">
      <c r="B15" s="128" t="s">
        <v>16</v>
      </c>
      <c r="C15" s="129"/>
      <c r="D15" s="74" t="e">
        <f t="shared" ref="D15" si="0">(D9-D10)/(D14*6)</f>
        <v>#DIV/0!</v>
      </c>
      <c r="E15" s="74" t="e">
        <f t="shared" ref="E15" si="1">(E9-E10)/(E14*6)</f>
        <v>#DIV/0!</v>
      </c>
      <c r="F15" s="132"/>
      <c r="G15" s="125"/>
    </row>
    <row r="16" spans="2:7" s="73" customFormat="1" ht="21" customHeight="1">
      <c r="B16" s="128" t="s">
        <v>17</v>
      </c>
      <c r="C16" s="129"/>
      <c r="D16" s="74" t="e">
        <f>(D13-D10)/(D14*3)</f>
        <v>#DIV/0!</v>
      </c>
      <c r="E16" s="74" t="e">
        <f t="shared" ref="E16" si="2">(E13-E10)/(E14*3)</f>
        <v>#DIV/0!</v>
      </c>
      <c r="F16" s="132"/>
      <c r="G16" s="125"/>
    </row>
    <row r="17" spans="2:7" s="73" customFormat="1" ht="21" customHeight="1">
      <c r="B17" s="130" t="s">
        <v>18</v>
      </c>
      <c r="C17" s="131"/>
      <c r="D17" s="74" t="e">
        <f>(D9-D13)/(D14*3)</f>
        <v>#DIV/0!</v>
      </c>
      <c r="E17" s="74" t="e">
        <f t="shared" ref="E17" si="3">(E9-E13)/(E14*3)</f>
        <v>#DIV/0!</v>
      </c>
      <c r="F17" s="132"/>
      <c r="G17" s="125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2"/>
      <c r="G18" s="126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2025-10-10T08:27:58Z</dcterms:modified>
</cp:coreProperties>
</file>