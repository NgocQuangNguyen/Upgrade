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4" state="hidden" r:id="rId3"/>
    <sheet name="ListSetup" sheetId="16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2" i="2"/>
  <c r="G1" i="163" l="1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<sst xmlns="http://schemas.openxmlformats.org/spreadsheetml/2006/main" count="779" uniqueCount="499">
  <si>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</si>
  <si>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</si>
  <si>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</si>
  <si>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</si>
  <si>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</si>
  <si>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</si>
  <si>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</si>
  <si>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</si>
  <si>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</si>
  <si>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</si>
  <si>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</si>
  <si>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</si>
  <si>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</si>
  <si>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</si>
  <si>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</si>
  <si>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</si>
  <si>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</si>
  <si>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</si>
  <si>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</si>
  <si>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</si>
  <si>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</si>
  <si>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</si>
  <si>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</si>
  <si>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</si>
  <si>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</si>
  <si>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</si>
  <si>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</si>
  <si>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</si>
  <si>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</si>
  <si>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</si>
  <si>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</si>
  <si>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</si>
  <si>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</si>
  <si>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</si>
  <si>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</si>
  <si>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</si>
  <si>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</si>
  <si>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</si>
  <si>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</si>
  <si>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</si>
  <si>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</si>
  <si>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</si>
  <si>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</si>
  <si>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</si>
  <si>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</si>
  <si>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</si>
  <si>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</si>
  <si>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</si>
  <si>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</si>
  <si>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</si>
  <si>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</si>
  <si>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</si>
  <si>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</si>
  <si>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</si>
  <si>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</si>
  <si>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</si>
  <si>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</si>
  <si>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</si>
  <si>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</si>
  <si>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</si>
  <si>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</si>
  <si>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</si>
  <si>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</si>
  <si>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</si>
  <si>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</si>
  <si>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</si>
  <si>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</si>
  <si>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</si>
  <si>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</si>
  <si>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</si>
  <si>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</si>
  <si>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</si>
  <si>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</si>
  <si>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</si>
  <si>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</si>
  <si>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</si>
  <si>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</si>
  <si>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</si>
  <si>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</si>
  <si>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</si>
  <si>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</si>
  <si>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</si>
  <si>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</si>
  <si>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</si>
  <si>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</si>
  <si>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</si>
  <si>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</si>
  <si>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</si>
  <si>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</si>
  <si>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</si>
  <si>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</si>
  <si>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</si>
  <si>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</si>
  <si>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</si>
  <si>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</si>
  <si>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</si>
  <si>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</si>
  <si>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</si>
  <si>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</si>
  <si>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</si>
  <si>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</si>
  <si>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</si>
  <si>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</si>
  <si>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</si>
  <si>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</si>
  <si>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</si>
  <si>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</si>
  <si>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</si>
  <si>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</si>
  <si>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</si>
  <si>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</si>
  <si>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</si>
  <si>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</si>
  <si>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</si>
  <si>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</si>
  <si>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</si>
  <si>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</si>
  <si>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</si>
  <si>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</si>
  <si>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</si>
  <si>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</si>
  <si>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</si>
  <si>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</si>
  <si>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</si>
  <si>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</si>
  <si>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</si>
  <si>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</si>
  <si>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</si>
  <si>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</si>
  <si>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</si>
  <si>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</si>
  <si>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</si>
  <si>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</si>
  <si>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</si>
  <si>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</si>
  <si>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</si>
  <si>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</si>
  <si>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</si>
  <si>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</si>
  <si>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</si>
  <si>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</si>
  <si>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</si>
  <si>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</si>
  <si>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</si>
  <si>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</si>
  <si>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</si>
  <si>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</si>
  <si>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</si>
  <si>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</si>
  <si>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</si>
  <si>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</si>
  <si>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</si>
  <si>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</si>
  <si>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</si>
  <si>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</si>
  <si>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</si>
  <si>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</si>
  <si>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</si>
  <si>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</si>
  <si>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</si>
  <si>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</si>
  <si>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</si>
  <si>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</si>
  <si>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</si>
  <si>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</si>
  <si>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</si>
  <si>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</si>
  <si>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</si>
  <si>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</si>
  <si>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</si>
  <si>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</si>
  <si>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</si>
  <si>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</si>
  <si>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</si>
  <si>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</si>
  <si>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</si>
  <si>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</si>
  <si>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</si>
  <si>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</si>
  <si>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</si>
  <si>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</si>
  <si>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</si>
  <si>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</si>
  <si>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</si>
  <si>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</si>
  <si>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</si>
  <si>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</si>
  <si>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</si>
  <si>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</si>
  <si>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</si>
  <si>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</si>
  <si>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</si>
  <si>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</si>
  <si>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</si>
  <si>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</si>
  <si>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</si>
  <si>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</si>
  <si>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</si>
  <si>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</si>
  <si>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</si>
  <si>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</si>
  <si>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</si>
  <si>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</si>
  <si>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</si>
  <si>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</si>
  <si>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</si>
  <si>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</si>
  <si>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</si>
  <si>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</si>
  <si>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</si>
  <si>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</si>
  <si>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</si>
  <si>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</si>
  <si>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</si>
  <si>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</si>
  <si>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</si>
  <si>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</si>
  <si>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</si>
  <si>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</si>
  <si>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</si>
  <si>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</si>
  <si>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</si>
  <si>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</si>
  <si>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</si>
  <si>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</si>
  <si>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</si>
  <si>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</si>
  <si>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</si>
  <si>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</si>
  <si>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</si>
  <si>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</si>
  <si>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</si>
  <si>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</si>
  <si>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</si>
  <si>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</si>
  <si>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</si>
  <si>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</si>
  <si>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</si>
  <si>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</si>
  <si>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</si>
  <si>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</si>
  <si>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</si>
  <si>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</si>
  <si>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</si>
  <si>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</si>
  <si>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</si>
  <si>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</si>
  <si>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</si>
  <si>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</si>
  <si>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</si>
  <si>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</si>
  <si>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</si>
  <si>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</si>
  <si>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</si>
  <si>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</si>
  <si>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</si>
  <si>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</si>
  <si>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</si>
  <si>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</si>
  <si>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</si>
  <si>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</si>
  <si>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</si>
  <si>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</si>
  <si>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</si>
  <si>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</si>
  <si>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</si>
  <si>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</si>
  <si>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</si>
  <si>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</si>
  <si>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</si>
  <si>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</si>
  <si>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</si>
  <si>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</si>
  <si>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</si>
  <si>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</si>
  <si>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</si>
  <si>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</si>
  <si>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</si>
  <si>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</si>
  <si>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</si>
  <si>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</si>
  <si>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</si>
  <si>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</si>
  <si>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</si>
  <si>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</si>
  <si>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</si>
  <si>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</si>
  <si>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</si>
  <si>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</si>
  <si>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</si>
  <si>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</si>
  <si>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</si>
  <si>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</si>
  <si>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</si>
  <si>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</si>
  <si>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</si>
  <si>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</si>
  <si>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</si>
  <si>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</si>
  <si>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</si>
  <si>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</si>
  <si>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</si>
  <si>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</si>
  <si>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</si>
  <si>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</si>
  <si>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</si>
  <si>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</si>
  <si>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</si>
  <si>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</si>
  <si>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</si>
  <si>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</si>
  <si>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</si>
  <si>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</si>
  <si>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</si>
  <si>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</si>
  <si>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</si>
  <si>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</si>
  <si>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</si>
  <si>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</si>
  <si>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</si>
  <si>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</si>
  <si>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</si>
  <si>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</si>
  <si>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</si>
  <si>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</si>
  <si>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</si>
  <si>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</si>
  <si>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</si>
  <si>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</si>
  <si>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</si>
  <si>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</si>
  <si>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</si>
  <si>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</si>
  <si>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</si>
  <si>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</si>
  <si>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</si>
  <si>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</si>
  <si>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</si>
  <si>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</si>
  <si>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</si>
  <si>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</si>
  <si>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</si>
  <si>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</si>
  <si>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</si>
  <si>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</si>
  <si>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</si>
  <si>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</si>
  <si>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</si>
  <si>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</si>
  <si>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</si>
  <si>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</si>
  <si>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</si>
  <si>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</si>
  <si>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</si>
  <si>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</si>
  <si>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</si>
  <si>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</si>
  <si>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</si>
  <si>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</si>
  <si>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</si>
  <si>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</si>
  <si>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</si>
  <si>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</si>
  <si>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</si>
  <si>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</si>
  <si>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</si>
  <si>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</si>
  <si>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</si>
  <si>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</si>
  <si>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</si>
  <si>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</si>
  <si>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</si>
  <si>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</si>
  <si>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</si>
  <si>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</si>
  <si>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</si>
  <si>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</si>
  <si>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</si>
  <si>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</si>
  <si>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</si>
  <si>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</si>
  <si>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</si>
  <si>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</si>
  <si>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</si>
  <si>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</si>
  <si>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</si>
  <si>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</si>
  <si>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</si>
  <si>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</si>
  <si>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</si>
  <si>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</si>
  <si>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</si>
  <si>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</si>
  <si>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</si>
  <si>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</si>
  <si>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</si>
  <si>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</si>
  <si>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</si>
  <si>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</si>
  <si>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</si>
  <si>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</si>
  <si>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</si>
  <si>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</si>
  <si>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</si>
  <si>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</si>
  <si>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</si>
  <si>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</si>
  <si>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</si>
  <si>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</si>
  <si>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</si>
  <si>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</si>
  <si>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</si>
  <si>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</si>
  <si>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</si>
  <si>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</si>
  <si>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</si>
  <si>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</si>
  <si>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</si>
  <si>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</si>
  <si>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</si>
  <si>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</si>
  <si>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</si>
  <si>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</si>
  <si>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</si>
  <si>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</si>
  <si>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</si>
  <si>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</si>
  <si>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</si>
  <si>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</si>
  <si>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</si>
  <si>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</si>
  <si>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</si>
  <si>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</si>
  <si>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</si>
  <si>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</si>
  <si>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</si>
  <si>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</si>
  <si>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</si>
  <si>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</si>
  <si>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</si>
  <si>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</si>
  <si>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</si>
  <si>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</si>
  <si>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</si>
  <si>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</si>
  <si>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</si>
  <si>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</si>
  <si>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</si>
  <si>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</si>
  <si>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</si>
  <si>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</si>
  <si>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</si>
  <si>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</si>
  <si>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</si>
  <si>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</si>
  <si>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</si>
  <si>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</si>
  <si>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</si>
  <si>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</si>
  <si>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</si>
  <si>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</si>
  <si>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</si>
  <si>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</si>
  <si>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</si>
  <si>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</si>
  <si>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</si>
  <si>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</si>
  <si>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</si>
  <si>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</si>
  <si>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</si>
  <si>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</si>
  <si>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</si>
  <si>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</si>
  <si>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</si>
  <si>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</si>
  <si>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</si>
  <si>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</si>
  <si>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</si>
  <si>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</si>
  <si>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</si>
  <si>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</si>
  <si>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</si>
  <si>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</si>
  <si>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</si>
  <si>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</si>
  <si>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</si>
  <si>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</si>
  <si>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</si>
  <si>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</si>
  <si>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</si>
  <si>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</si>
  <si>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</si>
  <si>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</si>
  <si>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</si>
  <si>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</si>
  <si>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COIL BAR CHECK</t>
  </si>
  <si>
    <t>V</t>
  </si>
  <si>
    <t xml:space="preserve"> 06-Jul-2025</t>
  </si>
  <si>
    <t xml:space="preserve"> 06-Jul-2025 10 28 54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</si>
</sst>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5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2">
    <xf numFmtId="0" fontId="0" fillId="0" borderId="0">
      <alignment vertical="center"/>
    </xf>
    <xf numFmtId="0" fontId="13" fillId="0" borderId="0">
      <alignment vertical="center"/>
    </xf>
    <xf numFmtId="0" fontId="14" fillId="0" borderId="0"/>
    <xf numFmtId="0" fontId="12" fillId="0" borderId="0"/>
    <xf numFmtId="0" fontId="11" fillId="0" borderId="0"/>
    <xf numFmtId="0" fontId="14" fillId="0" borderId="0">
      <alignment vertical="center"/>
    </xf>
    <xf numFmtId="3" fontId="23" fillId="0" borderId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2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8" fillId="3" borderId="13" xfId="5" applyNumberFormat="1" applyFont="1" applyFill="1" applyBorder="1" applyAlignment="1">
      <alignment horizontal="center" vertical="center" wrapText="1" shrinkToFit="1"/>
    </xf>
    <xf numFmtId="0" fontId="18" fillId="3" borderId="12" xfId="5" applyFont="1" applyFill="1" applyBorder="1" applyAlignment="1">
      <alignment horizontal="center" vertical="center" wrapText="1" shrinkToFit="1"/>
    </xf>
    <xf numFmtId="0" fontId="18" fillId="3" borderId="4" xfId="5" applyFont="1" applyFill="1" applyBorder="1" applyAlignment="1">
      <alignment horizontal="center" vertical="center" wrapText="1" shrinkToFit="1"/>
    </xf>
    <xf numFmtId="164" fontId="18" fillId="3" borderId="1" xfId="5" applyNumberFormat="1" applyFont="1" applyFill="1" applyBorder="1" applyAlignment="1">
      <alignment horizontal="center" vertical="center" wrapText="1" shrinkToFit="1"/>
    </xf>
    <xf numFmtId="164" fontId="18" fillId="3" borderId="14" xfId="5" applyNumberFormat="1" applyFont="1" applyFill="1" applyBorder="1" applyAlignment="1">
      <alignment horizontal="center" vertical="center" wrapText="1" shrinkToFit="1"/>
    </xf>
    <xf numFmtId="164" fontId="18" fillId="3" borderId="6" xfId="5" applyNumberFormat="1" applyFont="1" applyFill="1" applyBorder="1" applyAlignment="1">
      <alignment horizontal="center" vertical="center" wrapText="1" shrinkToFit="1"/>
    </xf>
    <xf numFmtId="164" fontId="18" fillId="3" borderId="15" xfId="5" applyNumberFormat="1" applyFont="1" applyFill="1" applyBorder="1" applyAlignment="1">
      <alignment horizontal="center" vertical="center" wrapText="1" shrinkToFit="1"/>
    </xf>
    <xf numFmtId="164" fontId="18" fillId="3" borderId="36" xfId="5" applyNumberFormat="1" applyFont="1" applyFill="1" applyBorder="1" applyAlignment="1">
      <alignment horizontal="center" vertical="center" wrapText="1" shrinkToFit="1"/>
    </xf>
    <xf numFmtId="0" fontId="18" fillId="3" borderId="1" xfId="5" applyFont="1" applyFill="1" applyBorder="1" applyAlignment="1">
      <alignment horizontal="center" vertical="center" wrapText="1" shrinkToFit="1"/>
    </xf>
    <xf numFmtId="0" fontId="18" fillId="3" borderId="13" xfId="5" applyFont="1" applyFill="1" applyBorder="1" applyAlignment="1">
      <alignment horizontal="center" vertical="center" wrapText="1" shrinkToFit="1"/>
    </xf>
    <xf numFmtId="0" fontId="18" fillId="3" borderId="19" xfId="5" applyFont="1" applyFill="1" applyBorder="1" applyAlignment="1">
      <alignment horizontal="center" vertical="center" wrapText="1" shrinkToFit="1"/>
    </xf>
    <xf numFmtId="0" fontId="16" fillId="3" borderId="17" xfId="5" applyFont="1" applyFill="1" applyBorder="1" applyAlignment="1">
      <alignment horizontal="center" vertical="center" wrapText="1"/>
    </xf>
    <xf numFmtId="0" fontId="16" fillId="3" borderId="25" xfId="5" applyFont="1" applyFill="1" applyBorder="1" applyAlignment="1">
      <alignment horizontal="center" vertical="center" wrapText="1"/>
    </xf>
    <xf numFmtId="0" fontId="21" fillId="6" borderId="35" xfId="5" applyFont="1" applyFill="1" applyBorder="1" applyAlignment="1">
      <alignment horizontal="center" vertical="center"/>
    </xf>
    <xf numFmtId="0" fontId="21" fillId="6" borderId="21" xfId="5" applyFont="1" applyFill="1" applyBorder="1" applyAlignment="1">
      <alignment horizontal="center" vertical="center"/>
    </xf>
    <xf numFmtId="164" fontId="22" fillId="6" borderId="22" xfId="5" applyNumberFormat="1" applyFont="1" applyFill="1" applyBorder="1" applyAlignment="1">
      <alignment horizontal="center" vertical="center"/>
    </xf>
    <xf numFmtId="164" fontId="22" fillId="6" borderId="23" xfId="5" applyNumberFormat="1" applyFont="1" applyFill="1" applyBorder="1" applyAlignment="1">
      <alignment horizontal="center" vertical="center"/>
    </xf>
    <xf numFmtId="164" fontId="22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5" fillId="0" borderId="0" xfId="0" applyFont="1">
      <alignment vertical="center"/>
    </xf>
    <xf numFmtId="164" fontId="25" fillId="4" borderId="0" xfId="0" applyNumberFormat="1" applyFont="1" applyFill="1">
      <alignment vertical="center"/>
    </xf>
    <xf numFmtId="0" fontId="25" fillId="4" borderId="0" xfId="0" applyFont="1" applyFill="1">
      <alignment vertical="center"/>
    </xf>
    <xf numFmtId="0" fontId="25" fillId="4" borderId="0" xfId="0" applyFont="1" applyFill="1" applyAlignment="1">
      <alignment horizontal="center" vertical="center"/>
    </xf>
    <xf numFmtId="167" fontId="25" fillId="0" borderId="0" xfId="0" applyNumberFormat="1" applyFont="1">
      <alignment vertical="center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 applyProtection="1">
      <alignment horizontal="left" vertical="center" wrapText="1"/>
      <protection locked="0"/>
    </xf>
    <xf numFmtId="0" fontId="4" fillId="0" borderId="0" xfId="15"/>
    <xf numFmtId="164" fontId="20" fillId="2" borderId="41" xfId="15" applyNumberFormat="1" applyFont="1" applyFill="1" applyBorder="1" applyAlignment="1">
      <alignment horizontal="center" vertical="center"/>
    </xf>
    <xf numFmtId="164" fontId="20" fillId="2" borderId="23" xfId="15" applyNumberFormat="1" applyFont="1" applyFill="1" applyBorder="1" applyAlignment="1">
      <alignment horizontal="center" vertical="center"/>
    </xf>
    <xf numFmtId="164" fontId="20" fillId="2" borderId="40" xfId="15" applyNumberFormat="1" applyFont="1" applyFill="1" applyBorder="1" applyAlignment="1">
      <alignment horizontal="center" vertical="center"/>
    </xf>
    <xf numFmtId="164" fontId="20" fillId="2" borderId="42" xfId="15" applyNumberFormat="1" applyFont="1" applyFill="1" applyBorder="1" applyAlignment="1">
      <alignment horizontal="center" vertical="center"/>
    </xf>
    <xf numFmtId="164" fontId="20" fillId="2" borderId="39" xfId="15" applyNumberFormat="1" applyFont="1" applyFill="1" applyBorder="1" applyAlignment="1">
      <alignment horizontal="center" vertical="center"/>
    </xf>
    <xf numFmtId="0" fontId="19" fillId="5" borderId="18" xfId="15" applyFont="1" applyFill="1" applyBorder="1" applyAlignment="1">
      <alignment horizontal="center" vertical="center"/>
    </xf>
    <xf numFmtId="164" fontId="20" fillId="2" borderId="16" xfId="15" applyNumberFormat="1" applyFont="1" applyFill="1" applyBorder="1" applyAlignment="1">
      <alignment horizontal="center" vertical="center"/>
    </xf>
    <xf numFmtId="164" fontId="20" fillId="2" borderId="1" xfId="15" applyNumberFormat="1" applyFont="1" applyFill="1" applyBorder="1" applyAlignment="1">
      <alignment horizontal="center" vertical="center"/>
    </xf>
    <xf numFmtId="164" fontId="20" fillId="2" borderId="3" xfId="15" applyNumberFormat="1" applyFont="1" applyFill="1" applyBorder="1" applyAlignment="1">
      <alignment horizontal="center" vertical="center"/>
    </xf>
    <xf numFmtId="164" fontId="20" fillId="2" borderId="37" xfId="15" applyNumberFormat="1" applyFont="1" applyFill="1" applyBorder="1" applyAlignment="1">
      <alignment horizontal="center" vertical="center"/>
    </xf>
    <xf numFmtId="164" fontId="20" fillId="2" borderId="17" xfId="15" applyNumberFormat="1" applyFont="1" applyFill="1" applyBorder="1" applyAlignment="1">
      <alignment horizontal="center" vertical="center"/>
    </xf>
    <xf numFmtId="0" fontId="19" fillId="5" borderId="17" xfId="15" applyFont="1" applyFill="1" applyBorder="1" applyAlignment="1">
      <alignment horizontal="center" vertical="center"/>
    </xf>
    <xf numFmtId="164" fontId="20" fillId="2" borderId="19" xfId="15" applyNumberFormat="1" applyFont="1" applyFill="1" applyBorder="1" applyAlignment="1">
      <alignment horizontal="center" vertical="center"/>
    </xf>
    <xf numFmtId="164" fontId="20" fillId="2" borderId="2" xfId="15" applyNumberFormat="1" applyFont="1" applyFill="1" applyBorder="1" applyAlignment="1">
      <alignment horizontal="center" vertical="center"/>
    </xf>
    <xf numFmtId="164" fontId="20" fillId="2" borderId="5" xfId="15" applyNumberFormat="1" applyFont="1" applyFill="1" applyBorder="1" applyAlignment="1">
      <alignment horizontal="center" vertical="center"/>
    </xf>
    <xf numFmtId="164" fontId="20" fillId="2" borderId="38" xfId="15" applyNumberFormat="1" applyFont="1" applyFill="1" applyBorder="1" applyAlignment="1">
      <alignment horizontal="center" vertical="center"/>
    </xf>
    <xf numFmtId="164" fontId="20" fillId="2" borderId="18" xfId="15" applyNumberFormat="1" applyFont="1" applyFill="1" applyBorder="1" applyAlignment="1">
      <alignment horizontal="center" vertical="center"/>
    </xf>
    <xf numFmtId="164" fontId="20" fillId="2" borderId="13" xfId="15" applyNumberFormat="1" applyFont="1" applyFill="1" applyBorder="1" applyAlignment="1">
      <alignment horizontal="center" vertical="center"/>
    </xf>
    <xf numFmtId="164" fontId="20" fillId="2" borderId="12" xfId="15" applyNumberFormat="1" applyFont="1" applyFill="1" applyBorder="1" applyAlignment="1">
      <alignment horizontal="center" vertical="center"/>
    </xf>
    <xf numFmtId="0" fontId="19" fillId="5" borderId="25" xfId="15" applyFont="1" applyFill="1" applyBorder="1" applyAlignment="1">
      <alignment horizontal="center" vertical="center"/>
    </xf>
    <xf numFmtId="0" fontId="15" fillId="0" borderId="34" xfId="15" applyFont="1" applyBorder="1" applyAlignment="1">
      <alignment vertical="center" wrapText="1"/>
    </xf>
    <xf numFmtId="0" fontId="15" fillId="0" borderId="33" xfId="15" applyFont="1" applyBorder="1" applyAlignment="1">
      <alignment vertical="center" wrapText="1"/>
    </xf>
    <xf numFmtId="0" fontId="15" fillId="0" borderId="32" xfId="15" applyFont="1" applyBorder="1" applyAlignment="1">
      <alignment vertical="center" wrapText="1"/>
    </xf>
    <xf numFmtId="0" fontId="15" fillId="0" borderId="10" xfId="15" applyFont="1" applyBorder="1" applyAlignment="1">
      <alignment horizontal="center" vertical="center" wrapText="1"/>
    </xf>
    <xf numFmtId="0" fontId="15" fillId="0" borderId="26" xfId="15" applyFont="1" applyBorder="1" applyAlignment="1">
      <alignment vertical="center" wrapText="1"/>
    </xf>
    <xf numFmtId="0" fontId="15" fillId="0" borderId="27" xfId="15" applyFont="1" applyBorder="1" applyAlignment="1">
      <alignment vertical="center" wrapText="1"/>
    </xf>
    <xf numFmtId="0" fontId="15" fillId="0" borderId="28" xfId="15" applyFont="1" applyBorder="1" applyAlignment="1">
      <alignment vertical="center" wrapText="1"/>
    </xf>
    <xf numFmtId="0" fontId="15" fillId="0" borderId="29" xfId="15" applyFont="1" applyBorder="1" applyAlignment="1">
      <alignment horizontal="center" vertical="top" wrapText="1"/>
    </xf>
    <xf numFmtId="0" fontId="15" fillId="0" borderId="30" xfId="15" applyFont="1" applyBorder="1" applyAlignment="1">
      <alignment vertical="center" wrapText="1"/>
    </xf>
    <xf numFmtId="0" fontId="15" fillId="0" borderId="0" xfId="15" applyFont="1" applyAlignment="1">
      <alignment vertical="center" wrapText="1"/>
    </xf>
    <xf numFmtId="0" fontId="15" fillId="0" borderId="20" xfId="15" applyFont="1" applyBorder="1" applyAlignment="1">
      <alignment vertical="center" wrapText="1"/>
    </xf>
    <xf numFmtId="0" fontId="15" fillId="0" borderId="31" xfId="15" applyFont="1" applyBorder="1" applyAlignment="1">
      <alignment horizontal="center" wrapText="1"/>
    </xf>
    <xf numFmtId="14" fontId="15" fillId="0" borderId="31" xfId="15" applyNumberFormat="1" applyFont="1" applyBorder="1" applyAlignment="1">
      <alignment horizontal="center" vertical="top" wrapText="1"/>
    </xf>
    <xf numFmtId="0" fontId="15" fillId="0" borderId="9" xfId="15" applyFont="1" applyBorder="1" applyAlignment="1">
      <alignment vertical="center" wrapText="1"/>
    </xf>
    <xf numFmtId="0" fontId="15" fillId="0" borderId="8" xfId="15" applyFont="1" applyBorder="1" applyAlignment="1">
      <alignment vertical="center" wrapText="1"/>
    </xf>
    <xf numFmtId="0" fontId="15" fillId="0" borderId="7" xfId="15" applyFont="1" applyBorder="1" applyAlignment="1">
      <alignment vertical="center" wrapText="1"/>
    </xf>
    <xf numFmtId="0" fontId="15" fillId="0" borderId="11" xfId="15" applyFont="1" applyBorder="1" applyAlignment="1">
      <alignment horizontal="center" wrapText="1"/>
    </xf>
    <xf numFmtId="0" fontId="24" fillId="0" borderId="34" xfId="15" applyFont="1" applyBorder="1" applyAlignment="1">
      <alignment vertical="center" wrapText="1"/>
    </xf>
    <xf numFmtId="0" fontId="24" fillId="0" borderId="33" xfId="15" applyFont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0" fontId="27" fillId="0" borderId="0" xfId="0" applyFont="1" applyAlignment="1"/>
    <xf numFmtId="164" fontId="28" fillId="7" borderId="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164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vertical="center" wrapText="1"/>
    </xf>
    <xf numFmtId="16" fontId="29" fillId="0" borderId="1" xfId="0" applyNumberFormat="1" applyFont="1" applyBorder="1" applyAlignment="1">
      <alignment horizontal="center" vertical="center" wrapText="1"/>
    </xf>
    <xf numFmtId="0" fontId="28" fillId="9" borderId="17" xfId="0" applyFont="1" applyFill="1" applyBorder="1" applyAlignment="1">
      <alignment horizontal="right" vertical="center"/>
    </xf>
    <xf numFmtId="2" fontId="28" fillId="9" borderId="4" xfId="0" applyNumberFormat="1" applyFont="1" applyFill="1" applyBorder="1" applyAlignment="1">
      <alignment horizontal="left" vertical="center"/>
    </xf>
    <xf numFmtId="164" fontId="30" fillId="8" borderId="1" xfId="0" applyNumberFormat="1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/>
    </xf>
    <xf numFmtId="2" fontId="30" fillId="3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164" fontId="28" fillId="9" borderId="1" xfId="0" applyNumberFormat="1" applyFont="1" applyFill="1" applyBorder="1" applyAlignment="1">
      <alignment horizontal="center" vertical="center"/>
    </xf>
    <xf numFmtId="164" fontId="22" fillId="6" borderId="47" xfId="5" applyNumberFormat="1" applyFont="1" applyFill="1" applyBorder="1" applyAlignment="1">
      <alignment horizontal="center" vertical="center"/>
    </xf>
    <xf numFmtId="164" fontId="22" fillId="6" borderId="48" xfId="5" applyNumberFormat="1" applyFont="1" applyFill="1" applyBorder="1" applyAlignment="1">
      <alignment horizontal="center" vertical="center"/>
    </xf>
    <xf numFmtId="164" fontId="22" fillId="6" borderId="49" xfId="5" applyNumberFormat="1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center" vertical="center" wrapText="1"/>
    </xf>
    <xf numFmtId="164" fontId="20" fillId="0" borderId="1" xfId="0" applyNumberFormat="1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32" fillId="0" borderId="0" xfId="0" applyFont="1">
      <alignment vertical="center"/>
    </xf>
    <xf numFmtId="15" fontId="32" fillId="0" borderId="0" xfId="0" applyNumberFormat="1" applyFont="1" applyAlignment="1"/>
    <xf numFmtId="0" fontId="33" fillId="0" borderId="32" xfId="15" applyFont="1" applyBorder="1" applyAlignment="1">
      <alignment horizontal="center" vertical="center" wrapText="1"/>
    </xf>
    <xf numFmtId="15" fontId="34" fillId="0" borderId="0" xfId="0" applyNumberFormat="1" applyFont="1" applyAlignment="1"/>
    <xf numFmtId="0" fontId="32" fillId="0" borderId="0" xfId="20" applyFont="1"/>
    <xf numFmtId="166" fontId="32" fillId="0" borderId="0" xfId="20" applyNumberFormat="1" applyFont="1"/>
    <xf numFmtId="0" fontId="32" fillId="0" borderId="0" xfId="20" quotePrefix="1" applyFont="1"/>
    <xf numFmtId="0" fontId="32" fillId="0" borderId="0" xfId="20" applyFont="1" applyAlignment="1">
      <alignment horizontal="center" vertical="center"/>
    </xf>
    <xf numFmtId="0" fontId="32" fillId="0" borderId="0" xfId="20" applyFont="1" applyAlignment="1">
      <alignment vertical="center"/>
    </xf>
    <xf numFmtId="0" fontId="32" fillId="0" borderId="0" xfId="21" applyFont="1" applyAlignment="1">
      <alignment horizontal="center" vertical="center"/>
    </xf>
    <xf numFmtId="164" fontId="32" fillId="0" borderId="0" xfId="20" applyNumberFormat="1" applyFont="1"/>
    <xf numFmtId="0" fontId="32" fillId="0" borderId="0" xfId="20" applyFont="1" applyAlignment="1">
      <alignment horizontal="center"/>
    </xf>
    <xf numFmtId="0" fontId="32" fillId="0" borderId="0" xfId="21" applyFont="1" applyAlignment="1">
      <alignment horizontal="center"/>
    </xf>
    <xf numFmtId="2" fontId="32" fillId="0" borderId="0" xfId="21" applyNumberFormat="1" applyFont="1" applyAlignment="1">
      <alignment horizontal="center" vertical="center"/>
    </xf>
    <xf numFmtId="0" fontId="32" fillId="0" borderId="0" xfId="21" applyFont="1"/>
    <xf numFmtId="2" fontId="32" fillId="0" borderId="0" xfId="21" applyNumberFormat="1" applyFont="1"/>
    <xf numFmtId="0" fontId="17" fillId="3" borderId="28" xfId="5" applyFont="1" applyFill="1" applyBorder="1" applyAlignment="1">
      <alignment horizontal="center" vertical="center" wrapText="1"/>
    </xf>
    <xf numFmtId="0" fontId="17" fillId="3" borderId="27" xfId="5" applyFont="1" applyFill="1" applyBorder="1" applyAlignment="1">
      <alignment horizontal="center" vertical="center" wrapText="1"/>
    </xf>
    <xf numFmtId="0" fontId="17" fillId="3" borderId="26" xfId="5" applyFont="1" applyFill="1" applyBorder="1" applyAlignment="1">
      <alignment horizontal="center" vertical="center" wrapText="1"/>
    </xf>
    <xf numFmtId="0" fontId="15" fillId="4" borderId="11" xfId="5" applyFont="1" applyFill="1" applyBorder="1" applyAlignment="1">
      <alignment horizontal="center" vertical="center" wrapText="1"/>
    </xf>
    <xf numFmtId="0" fontId="15" fillId="4" borderId="35" xfId="5" applyFont="1" applyFill="1" applyBorder="1" applyAlignment="1">
      <alignment horizontal="center" vertical="center" wrapText="1"/>
    </xf>
    <xf numFmtId="0" fontId="15" fillId="4" borderId="43" xfId="5" applyFont="1" applyFill="1" applyBorder="1" applyAlignment="1">
      <alignment horizontal="center" vertical="center" wrapText="1"/>
    </xf>
    <xf numFmtId="0" fontId="15" fillId="4" borderId="44" xfId="5" applyFont="1" applyFill="1" applyBorder="1" applyAlignment="1">
      <alignment horizontal="center" vertical="center" wrapText="1"/>
    </xf>
    <xf numFmtId="0" fontId="16" fillId="3" borderId="32" xfId="5" applyFont="1" applyFill="1" applyBorder="1" applyAlignment="1">
      <alignment horizontal="center" vertical="center" wrapText="1"/>
    </xf>
    <xf numFmtId="0" fontId="16" fillId="3" borderId="35" xfId="5" applyFont="1" applyFill="1" applyBorder="1" applyAlignment="1">
      <alignment horizontal="center" vertical="center" wrapText="1"/>
    </xf>
    <xf numFmtId="0" fontId="15" fillId="3" borderId="11" xfId="5" applyFont="1" applyFill="1" applyBorder="1" applyAlignment="1">
      <alignment horizontal="center" vertical="center" wrapText="1"/>
    </xf>
    <xf numFmtId="0" fontId="15" fillId="3" borderId="8" xfId="5" applyFont="1" applyFill="1" applyBorder="1" applyAlignment="1">
      <alignment horizontal="center" vertical="center" wrapText="1"/>
    </xf>
    <xf numFmtId="0" fontId="15" fillId="3" borderId="9" xfId="5" applyFont="1" applyFill="1" applyBorder="1" applyAlignment="1">
      <alignment horizontal="center" vertical="center" wrapText="1"/>
    </xf>
    <xf numFmtId="0" fontId="15" fillId="3" borderId="7" xfId="5" applyFont="1" applyFill="1" applyBorder="1" applyAlignment="1">
      <alignment horizontal="center" vertical="center" wrapText="1"/>
    </xf>
    <xf numFmtId="0" fontId="30" fillId="10" borderId="3" xfId="0" applyFont="1" applyFill="1" applyBorder="1" applyAlignment="1">
      <alignment horizontal="center" vertical="center" wrapText="1"/>
    </xf>
    <xf numFmtId="0" fontId="30" fillId="10" borderId="4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8" fillId="7" borderId="17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0" fontId="28" fillId="9" borderId="17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3" borderId="3" xfId="0" applyFont="1" applyFill="1" applyBorder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 wrapText="1"/>
    </xf>
    <xf numFmtId="0" fontId="30" fillId="8" borderId="3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</cellXfs>
  <cellStyles count="2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3" xfId="14"/>
    <cellStyle name="Normal 3 3 2" xfId="16"/>
    <cellStyle name="Normal 3 3 2 2" xfId="18"/>
    <cellStyle name="Normal 3 3 2 2 2" xfId="2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493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F19" sqref="F19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/>
      <c r="G1" s="25" t="s">
        <v>155</v>
      </c>
      <c r="H1" s="25" t="s">
        <v>154</v>
      </c>
      <c r="I1" s="29" t="s">
        <v>497</v>
      </c>
      <c r="J1" s="25" t="s">
        <v>144</v>
      </c>
      <c r="K1" s="25" t="s">
        <v>498</v>
      </c>
      <c r="L1" s="25" t="s">
        <v>158</v>
      </c>
    </row>
    <row r="2" spans="1:12">
      <c r="A2" s="19">
        <v>1</v>
      </c>
      <c r="B2" s="19">
        <v>2</v>
      </c>
      <c r="C2" s="20">
        <f>IF(AND(A2&lt;&gt;"",B2&lt;&gt;""),IF(A2&lt;0.002,"NG Zero Set",IF(B2-A2-D2&lt;0.27,"Badmark",B2-A2-D2)),"")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13" si="0">IF(AND(A3&lt;&gt;"",B3&lt;&gt;""),IF(A3&lt;0.002,"NG Zero Set",IF(B3-A3-D3&lt;0.27,"Badmark",B3-A3-D3)),"")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/>
      <c r="C14" s="20"/>
      <c r="D14" s="26"/>
      <c r="G14" s="23"/>
      <c r="H14" s="23"/>
      <c r="I14" s="19"/>
    </row>
    <row r="15" spans="1:12">
      <c r="A15" s="19"/>
      <c r="C15" s="20"/>
      <c r="D15" s="26"/>
      <c r="G15" s="23"/>
      <c r="H15" s="23"/>
      <c r="I15" s="19"/>
    </row>
    <row r="16" spans="1:12">
      <c r="A16" s="19"/>
      <c r="C16" s="20"/>
      <c r="D16" s="26"/>
      <c r="G16" s="23"/>
      <c r="H16" s="23"/>
      <c r="I16" s="19"/>
    </row>
    <row r="17" spans="1:9">
      <c r="A17" s="19"/>
      <c r="C17" s="20"/>
      <c r="D17" s="26"/>
      <c r="G17" s="23"/>
      <c r="H17" s="23"/>
      <c r="I17" s="19"/>
    </row>
    <row r="18" spans="1:9">
      <c r="A18" s="19"/>
      <c r="C18" s="20"/>
      <c r="D18" s="26"/>
      <c r="G18" s="23"/>
      <c r="H18" s="23"/>
      <c r="I18" s="19"/>
    </row>
    <row r="19" spans="1:9">
      <c r="A19" s="19"/>
      <c r="C19" s="20"/>
      <c r="D19" s="26"/>
      <c r="G19" s="23"/>
      <c r="H19" s="23"/>
      <c r="I19" s="19"/>
    </row>
    <row r="20" spans="1:9">
      <c r="A20" s="19"/>
      <c r="C20" s="20"/>
      <c r="D20" s="26"/>
      <c r="G20" s="23"/>
      <c r="H20" s="23"/>
      <c r="I20" s="19"/>
    </row>
    <row r="21" spans="1:9">
      <c r="A21" s="19"/>
      <c r="C21" s="20"/>
      <c r="D21" s="26"/>
      <c r="G21" s="23"/>
      <c r="H21" s="23"/>
      <c r="I21" s="19"/>
    </row>
    <row r="22" spans="1:9">
      <c r="A22" s="19"/>
      <c r="C22" s="20"/>
      <c r="D22" s="26"/>
      <c r="G22" s="23"/>
      <c r="H22" s="23"/>
      <c r="I22" s="19"/>
    </row>
    <row r="23" spans="1:9">
      <c r="A23" s="19"/>
      <c r="C23" s="20"/>
      <c r="D23" s="26"/>
      <c r="G23" s="23"/>
      <c r="H23" s="23"/>
      <c r="I23" s="19"/>
    </row>
    <row r="24" spans="1:9">
      <c r="A24" s="19"/>
      <c r="C24" s="20"/>
      <c r="D24" s="26"/>
      <c r="G24" s="23"/>
      <c r="H24" s="23"/>
      <c r="I24" s="19"/>
    </row>
    <row r="25" spans="1:9">
      <c r="A25" s="19"/>
      <c r="C25" s="20"/>
      <c r="D25" s="26"/>
      <c r="G25" s="23"/>
      <c r="H25" s="23"/>
      <c r="I25" s="19"/>
    </row>
    <row r="26" spans="1:9">
      <c r="A26" s="19"/>
      <c r="C26" s="20"/>
      <c r="D26" s="26"/>
      <c r="G26" s="23"/>
      <c r="H26" s="23"/>
      <c r="I26" s="19"/>
    </row>
    <row r="27" spans="1:9">
      <c r="A27" s="19"/>
      <c r="C27" s="20"/>
      <c r="D27" s="26"/>
      <c r="G27" s="23"/>
      <c r="H27" s="23"/>
      <c r="I27" s="19"/>
    </row>
    <row r="28" spans="1:9">
      <c r="A28" s="19"/>
      <c r="C28" s="20"/>
      <c r="D28" s="26"/>
      <c r="G28" s="23"/>
      <c r="H28" s="23"/>
      <c r="I28" s="19"/>
    </row>
    <row r="29" spans="1:9">
      <c r="A29" s="19"/>
      <c r="C29" s="20"/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CAG2" activePane="bottomRight" state="frozen"/>
      <selection pane="topRight" activeCell="B1" sqref="B1"/>
      <selection pane="bottomLeft" activeCell="A2" sqref="A2"/>
      <selection pane="bottomRight" activeCell="CAM2" sqref="CAM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427</v>
      </c>
      <c r="B2" s="106">
        <v>3</v>
      </c>
      <c r="C2" s="106">
        <v>1</v>
      </c>
      <c r="D2" s="106">
        <v>1</v>
      </c>
      <c r="E2" s="106">
        <v>24</v>
      </c>
      <c r="F2" s="106" t="s">
        <v>424</v>
      </c>
      <c r="GY2" s="95" t="s">
        <v>428</v>
      </c>
      <c r="GZ2" s="108">
        <v>0.26700000000000002</v>
      </c>
      <c r="HA2" s="108">
        <v>0.26900000000000002</v>
      </c>
      <c r="HB2" s="108">
        <v>0.22800000000000001</v>
      </c>
      <c r="HC2" s="108">
        <v>0.25800000000000001</v>
      </c>
      <c r="HD2" s="108">
        <v>0.25700000000000001</v>
      </c>
      <c r="HE2" s="108">
        <v>0.23799999999999999</v>
      </c>
      <c r="HF2" s="108">
        <v>0.249</v>
      </c>
      <c r="HG2" s="108">
        <v>0.249</v>
      </c>
      <c r="HH2" s="108">
        <v>0.20699999999999999</v>
      </c>
      <c r="HI2" s="108">
        <v>0.23699999999999999</v>
      </c>
      <c r="HJ2" s="108">
        <v>0.22500000000000001</v>
      </c>
      <c r="HK2" s="108">
        <v>0.19800000000000001</v>
      </c>
      <c r="HL2" s="108">
        <v>0.16</v>
      </c>
      <c r="HM2" s="108">
        <v>0.222</v>
      </c>
      <c r="HN2" s="108">
        <v>0.187</v>
      </c>
      <c r="HO2" s="108">
        <v>0.22</v>
      </c>
      <c r="HP2" s="108">
        <v>0.214</v>
      </c>
      <c r="HQ2" s="108">
        <v>0.17699999999999999</v>
      </c>
      <c r="HR2" s="108">
        <v>0.2</v>
      </c>
      <c r="HS2" s="108">
        <v>0.2</v>
      </c>
      <c r="HT2" s="108">
        <v>0.13</v>
      </c>
      <c r="HU2" s="108">
        <v>0.189</v>
      </c>
      <c r="HV2" s="108">
        <v>0.183</v>
      </c>
      <c r="HW2" s="108">
        <v>0.152</v>
      </c>
      <c r="HX2" s="108">
        <v>0.17799999999999999</v>
      </c>
      <c r="HY2" s="108">
        <v>0.17699999999999999</v>
      </c>
      <c r="HZ2" s="108">
        <v>0.14299999999999999</v>
      </c>
      <c r="IA2" s="108">
        <v>0.16700000000000001</v>
      </c>
      <c r="IB2" s="108">
        <v>0.16300000000000001</v>
      </c>
      <c r="IC2" s="108">
        <v>9.0999999999999998E-2</v>
      </c>
      <c r="ID2" s="108">
        <v>8.5999999999999993E-2</v>
      </c>
      <c r="IE2" s="108">
        <v>0.14799999999999999</v>
      </c>
      <c r="IF2" s="108">
        <v>0.115</v>
      </c>
      <c r="IG2" s="108">
        <v>0.14299999999999999</v>
      </c>
      <c r="IH2" s="108">
        <v>0.13900000000000001</v>
      </c>
      <c r="II2" s="108">
        <v>0.104</v>
      </c>
      <c r="IJ2" s="108">
        <v>0.27100000000000002</v>
      </c>
      <c r="IK2" s="108">
        <v>0.25800000000000001</v>
      </c>
      <c r="IL2" s="108">
        <v>0.223</v>
      </c>
      <c r="IM2" s="108">
        <v>0.26</v>
      </c>
      <c r="IN2" s="108">
        <v>0.252</v>
      </c>
      <c r="IO2" s="108">
        <v>0.215</v>
      </c>
      <c r="IP2" s="108">
        <v>0.252</v>
      </c>
      <c r="IQ2" s="108">
        <v>0.247</v>
      </c>
      <c r="IR2" s="108">
        <v>0.20899999999999999</v>
      </c>
      <c r="IS2" s="108">
        <v>0.24299999999999999</v>
      </c>
      <c r="IT2" s="108">
        <v>0.23599999999999999</v>
      </c>
      <c r="IU2" s="108">
        <v>0.2</v>
      </c>
      <c r="IV2" s="108">
        <v>0.23599999999999999</v>
      </c>
      <c r="IW2" s="108">
        <v>0.23100000000000001</v>
      </c>
      <c r="IX2" s="108">
        <v>0.19500000000000001</v>
      </c>
      <c r="IY2" s="108">
        <v>0.22800000000000001</v>
      </c>
      <c r="IZ2" s="108">
        <v>0.23400000000000001</v>
      </c>
      <c r="JA2" s="108">
        <v>0.19700000000000001</v>
      </c>
      <c r="JB2" s="108">
        <v>0.224</v>
      </c>
      <c r="JC2" s="108">
        <v>0.22600000000000001</v>
      </c>
      <c r="JD2" s="108">
        <v>0.188</v>
      </c>
      <c r="JE2" s="108">
        <v>0.218</v>
      </c>
      <c r="JF2" s="108">
        <v>0.218</v>
      </c>
      <c r="JG2" s="108">
        <v>0.18099999999999999</v>
      </c>
      <c r="JH2" s="108">
        <v>0.21099999999999999</v>
      </c>
      <c r="JI2" s="108">
        <v>0.21199999999999999</v>
      </c>
      <c r="JJ2" s="108">
        <v>0.17199999999999999</v>
      </c>
      <c r="JK2" s="108">
        <v>0.21099999999999999</v>
      </c>
      <c r="JL2" s="108">
        <v>0.20599999999999999</v>
      </c>
      <c r="JM2" s="108">
        <v>0.155</v>
      </c>
      <c r="JN2" s="108">
        <v>0.193</v>
      </c>
      <c r="JO2" s="108">
        <v>0.19900000000000001</v>
      </c>
      <c r="JP2" s="108">
        <v>0.16</v>
      </c>
      <c r="JQ2" s="108">
        <v>0.193</v>
      </c>
      <c r="JR2" s="108">
        <v>0.184</v>
      </c>
      <c r="JS2" s="108">
        <v>0.14399999999999999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426</v>
      </c>
      <c r="B3" s="106">
        <v>2</v>
      </c>
      <c r="C3" s="106">
        <v>1</v>
      </c>
      <c r="D3" s="106">
        <v>1</v>
      </c>
      <c r="E3" s="106">
        <v>14</v>
      </c>
      <c r="F3" s="106" t="s">
        <v>424</v>
      </c>
      <c r="GY3" s="97" t="s">
        <v>494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404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491</v>
      </c>
      <c r="B4" s="106">
        <v>10</v>
      </c>
      <c r="C4" s="106">
        <v>3</v>
      </c>
      <c r="D4" s="106">
        <v>10</v>
      </c>
      <c r="E4" s="106">
        <v>4</v>
      </c>
      <c r="F4" s="106" t="s">
        <v>424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423</v>
      </c>
      <c r="B5" s="106">
        <v>4</v>
      </c>
      <c r="C5" s="106">
        <v>1</v>
      </c>
      <c r="D5" s="106">
        <v>1</v>
      </c>
      <c r="E5" s="106">
        <v>16</v>
      </c>
      <c r="F5" s="106" t="s">
        <v>424</v>
      </c>
      <c r="G5" s="106"/>
      <c r="GY5" s="95" t="s">
        <v>425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401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381</v>
      </c>
      <c r="AG2" s="98" t="s">
        <v>402</v>
      </c>
      <c r="AH2" s="98" t="s">
        <v>403</v>
      </c>
      <c r="AI2" s="98" t="s">
        <v>383</v>
      </c>
      <c r="AJ2" s="98" t="s">
        <v>385</v>
      </c>
      <c r="AK2" s="98" t="s">
        <v>384</v>
      </c>
      <c r="AL2" s="98" t="s">
        <v>386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213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463</v>
      </c>
      <c r="B3" s="98" t="s">
        <v>380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383</v>
      </c>
      <c r="AG3" s="98" t="s">
        <v>384</v>
      </c>
      <c r="AH3" s="98" t="s">
        <v>386</v>
      </c>
      <c r="AI3" s="98" t="s">
        <v>385</v>
      </c>
      <c r="AJ3" s="98" t="s">
        <v>381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495</v>
      </c>
      <c r="XFB3" s="105" t="s">
        <v>158</v>
      </c>
    </row>
    <row r="4" spans="1:743 16382:16384">
      <c r="A4" s="98" t="s">
        <v>464</v>
      </c>
      <c r="B4" s="98" t="s">
        <v>380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389</v>
      </c>
      <c r="AG4" s="98" t="s">
        <v>383</v>
      </c>
      <c r="AH4" s="98" t="s">
        <v>385</v>
      </c>
      <c r="AI4" s="98" t="s">
        <v>384</v>
      </c>
      <c r="AJ4" s="98" t="s">
        <v>386</v>
      </c>
      <c r="AK4" s="98" t="s">
        <v>390</v>
      </c>
      <c r="AL4" s="98" t="s">
        <v>465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422</v>
      </c>
      <c r="B5" s="98" t="s">
        <v>401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392</v>
      </c>
      <c r="AG5" s="98" t="s">
        <v>393</v>
      </c>
      <c r="AH5" s="98" t="s">
        <v>381</v>
      </c>
      <c r="AI5" s="98" t="s">
        <v>421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492</v>
      </c>
      <c r="C2" s="125"/>
      <c r="D2" s="129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29"/>
      <c r="E3" s="76"/>
      <c r="F3" s="76"/>
      <c r="G3" s="76"/>
    </row>
    <row r="4" spans="2:7" ht="28.5" customHeight="1">
      <c r="B4" s="125"/>
      <c r="C4" s="125"/>
      <c r="D4" s="129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41" t="s">
        <v>216</v>
      </c>
      <c r="C6" s="142"/>
      <c r="D6" s="78"/>
      <c r="E6" s="78"/>
      <c r="F6" s="78"/>
      <c r="G6" s="78"/>
    </row>
    <row r="7" spans="2:7" ht="28.5" customHeight="1">
      <c r="B7" s="139" t="s">
        <v>217</v>
      </c>
      <c r="C7" s="140"/>
      <c r="D7" s="85" t="s">
        <v>219</v>
      </c>
      <c r="E7" s="85" t="s">
        <v>218</v>
      </c>
      <c r="F7" s="134" t="s">
        <v>220</v>
      </c>
      <c r="G7" s="126" t="s">
        <v>225</v>
      </c>
    </row>
    <row r="8" spans="2:7" ht="21" customHeight="1">
      <c r="B8" s="123" t="s">
        <v>317</v>
      </c>
      <c r="C8" s="124"/>
      <c r="D8" s="90"/>
      <c r="E8" s="90"/>
      <c r="F8" s="134"/>
      <c r="G8" s="127"/>
    </row>
    <row r="9" spans="2:7" ht="21" customHeight="1">
      <c r="B9" s="135" t="s">
        <v>11</v>
      </c>
      <c r="C9" s="136"/>
      <c r="D9" s="83"/>
      <c r="E9" s="83"/>
      <c r="F9" s="134"/>
      <c r="G9" s="127"/>
    </row>
    <row r="10" spans="2:7" ht="21" customHeight="1">
      <c r="B10" s="135" t="s">
        <v>12</v>
      </c>
      <c r="C10" s="136"/>
      <c r="D10" s="84"/>
      <c r="E10" s="84"/>
      <c r="F10" s="134"/>
      <c r="G10" s="127"/>
    </row>
    <row r="11" spans="2:7" ht="21" customHeight="1">
      <c r="B11" s="137" t="s">
        <v>1</v>
      </c>
      <c r="C11" s="138"/>
      <c r="D11" s="82">
        <f>MAX(D19:D20)</f>
        <v>0</v>
      </c>
      <c r="E11" s="82">
        <f>MAX(E19:E20)</f>
        <v>0</v>
      </c>
      <c r="F11" s="134"/>
      <c r="G11" s="127"/>
    </row>
    <row r="12" spans="2:7" ht="21" customHeight="1">
      <c r="B12" s="137" t="s">
        <v>2</v>
      </c>
      <c r="C12" s="138"/>
      <c r="D12" s="82">
        <f>MIN(D19:D20)</f>
        <v>0</v>
      </c>
      <c r="E12" s="82">
        <f>MIN(E19:E20)</f>
        <v>0</v>
      </c>
      <c r="F12" s="134"/>
      <c r="G12" s="127"/>
    </row>
    <row r="13" spans="2:7" ht="21" customHeight="1">
      <c r="B13" s="137" t="s">
        <v>3</v>
      </c>
      <c r="C13" s="138"/>
      <c r="D13" s="82" t="e">
        <f>AVERAGEA(D19:D20)</f>
        <v>#DIV/0!</v>
      </c>
      <c r="E13" s="82" t="e">
        <f>AVERAGEA(E19:E20)</f>
        <v>#DIV/0!</v>
      </c>
      <c r="F13" s="134"/>
      <c r="G13" s="127"/>
    </row>
    <row r="14" spans="2:7" s="73" customFormat="1" ht="21" customHeight="1">
      <c r="B14" s="130" t="s">
        <v>15</v>
      </c>
      <c r="C14" s="131"/>
      <c r="D14" s="74" t="e">
        <f>STDEV(D19:D20)</f>
        <v>#DIV/0!</v>
      </c>
      <c r="E14" s="74" t="e">
        <f>STDEV(E19:E20)</f>
        <v>#DIV/0!</v>
      </c>
      <c r="F14" s="134"/>
      <c r="G14" s="127"/>
    </row>
    <row r="15" spans="2:7" s="73" customFormat="1" ht="21" customHeight="1">
      <c r="B15" s="130" t="s">
        <v>16</v>
      </c>
      <c r="C15" s="131"/>
      <c r="D15" s="74" t="e">
        <f t="shared" ref="D15" si="0">(D9-D10)/(D14*6)</f>
        <v>#DIV/0!</v>
      </c>
      <c r="E15" s="74" t="e">
        <f t="shared" ref="E15" si="1">(E9-E10)/(E14*6)</f>
        <v>#DIV/0!</v>
      </c>
      <c r="F15" s="134"/>
      <c r="G15" s="127"/>
    </row>
    <row r="16" spans="2:7" s="73" customFormat="1" ht="21" customHeight="1">
      <c r="B16" s="130" t="s">
        <v>17</v>
      </c>
      <c r="C16" s="131"/>
      <c r="D16" s="74" t="e">
        <f>(D13-D10)/(D14*3)</f>
        <v>#DIV/0!</v>
      </c>
      <c r="E16" s="74" t="e">
        <f t="shared" ref="E16" si="2">(E13-E10)/(E14*3)</f>
        <v>#DIV/0!</v>
      </c>
      <c r="F16" s="134"/>
      <c r="G16" s="127"/>
    </row>
    <row r="17" spans="2:7" s="73" customFormat="1" ht="21" customHeight="1">
      <c r="B17" s="132" t="s">
        <v>18</v>
      </c>
      <c r="C17" s="133"/>
      <c r="D17" s="74" t="e">
        <f>(D9-D13)/(D14*3)</f>
        <v>#DIV/0!</v>
      </c>
      <c r="E17" s="74" t="e">
        <f t="shared" ref="E17" si="3">(E9-E13)/(E14*3)</f>
        <v>#DIV/0!</v>
      </c>
      <c r="F17" s="134"/>
      <c r="G17" s="127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4"/>
      <c r="G18" s="128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2025-07-06T04:47:36Z</dcterms:modified>
</cp:coreProperties>
</file>