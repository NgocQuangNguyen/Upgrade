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68" state="hidden" r:id="rId3"/>
    <sheet name="ListSetup" sheetId="167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2" i="2"/>
  <c r="G1" i="167" l="1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<sst xmlns="http://schemas.openxmlformats.org/spreadsheetml/2006/main" count="783" uniqueCount="500">
  <si>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</si>
  <si>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</si>
  <si>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</si>
  <si>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</si>
  <si>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</si>
  <si>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</si>
  <si>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</si>
  <si>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</si>
  <si>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</si>
  <si>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</si>
  <si>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</si>
  <si>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</si>
  <si>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</si>
  <si>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</si>
  <si>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</si>
  <si>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</si>
  <si>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</si>
  <si>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</si>
  <si>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</si>
  <si>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</si>
  <si>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</si>
  <si>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</si>
  <si>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</si>
  <si>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</si>
  <si>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</si>
  <si>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</si>
  <si>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</si>
  <si>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</si>
  <si>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</si>
  <si>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</si>
  <si>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</si>
  <si>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</si>
  <si>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</si>
  <si>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</si>
  <si>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</si>
  <si>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</si>
  <si>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</si>
  <si>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</si>
  <si>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</si>
  <si>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</si>
  <si>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</si>
  <si>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</si>
  <si>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</si>
  <si>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</si>
  <si>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</si>
  <si>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</si>
  <si>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</si>
  <si>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</si>
  <si>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</si>
  <si>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</si>
  <si>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</si>
  <si>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</si>
  <si>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</si>
  <si>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</si>
  <si>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</si>
  <si>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</si>
  <si>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</si>
  <si>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</si>
  <si>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</si>
  <si>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</si>
  <si>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</si>
  <si>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</si>
  <si>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</si>
  <si>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</si>
  <si>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</si>
  <si>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</si>
  <si>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</si>
  <si>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</si>
  <si>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</si>
  <si>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</si>
  <si>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</si>
  <si>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</si>
  <si>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</si>
  <si>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</si>
  <si>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</si>
  <si>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</si>
  <si>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</si>
  <si>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</si>
  <si>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</si>
  <si>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</si>
  <si>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</si>
  <si>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</si>
  <si>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</si>
  <si>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</si>
  <si>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</si>
  <si>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</si>
  <si>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</si>
  <si>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</si>
  <si>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</si>
  <si>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</si>
  <si>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</si>
  <si>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</si>
  <si>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</si>
  <si>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</si>
  <si>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</si>
  <si>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</si>
  <si>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</si>
  <si>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</si>
  <si>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</si>
  <si>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</si>
  <si>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</si>
  <si>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</si>
  <si>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</si>
  <si>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</si>
  <si>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</si>
  <si>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</si>
  <si>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</si>
  <si>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</si>
  <si>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</si>
  <si>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</si>
  <si>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</si>
  <si>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</si>
  <si>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</si>
  <si>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</si>
  <si>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</si>
  <si>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</si>
  <si>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</si>
  <si>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</si>
  <si>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</si>
  <si>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</si>
  <si>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</si>
  <si>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</si>
  <si>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</si>
  <si>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</si>
  <si>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</si>
  <si>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</si>
  <si>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</si>
  <si>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</si>
  <si>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</si>
  <si>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</si>
  <si>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</si>
  <si>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</si>
  <si>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</si>
  <si>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</si>
  <si>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</si>
  <si>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</si>
  <si>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</si>
  <si>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</si>
  <si>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</si>
  <si>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</si>
  <si>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</si>
  <si>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</si>
  <si>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</si>
  <si>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</si>
  <si>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</si>
  <si>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</si>
  <si>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</si>
  <si>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</si>
  <si>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</si>
  <si>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</si>
  <si>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</si>
  <si>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</si>
  <si>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</si>
  <si>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</si>
  <si>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</si>
  <si>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</si>
  <si>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</si>
  <si>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</si>
  <si>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</si>
  <si>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</si>
  <si>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</si>
  <si>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</si>
  <si>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</si>
  <si>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</si>
  <si>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</si>
  <si>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</si>
  <si>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</si>
  <si>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</si>
  <si>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</si>
  <si>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</si>
  <si>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</si>
  <si>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</si>
  <si>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</si>
  <si>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</si>
  <si>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</si>
  <si>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</si>
  <si>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</si>
  <si>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</si>
  <si>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</si>
  <si>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</si>
  <si>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</si>
  <si>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</si>
  <si>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</si>
  <si>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</si>
  <si>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</si>
  <si>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</si>
  <si>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</si>
  <si>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</si>
  <si>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</si>
  <si>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</si>
  <si>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</si>
  <si>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</si>
  <si>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</si>
  <si>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</si>
  <si>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</si>
  <si>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</si>
  <si>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</si>
  <si>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</si>
  <si>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</si>
  <si>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</si>
  <si>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</si>
  <si>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</si>
  <si>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</si>
  <si>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</si>
  <si>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</si>
  <si>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</si>
  <si>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</si>
  <si>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</si>
  <si>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</si>
  <si>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</si>
  <si>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</si>
  <si>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</si>
  <si>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</si>
  <si>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</si>
  <si>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</si>
  <si>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</si>
  <si>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</si>
  <si>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</si>
  <si>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</si>
  <si>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</si>
  <si>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</si>
  <si>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</si>
  <si>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</si>
  <si>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</si>
  <si>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</si>
  <si>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</si>
  <si>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</si>
  <si>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</si>
  <si>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</si>
  <si>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</si>
  <si>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</si>
  <si>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</si>
  <si>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</si>
  <si>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</si>
  <si>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</si>
  <si>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</si>
  <si>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</si>
  <si>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</si>
  <si>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</si>
  <si>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</si>
  <si>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</si>
  <si>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</si>
  <si>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</si>
  <si>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</si>
  <si>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</si>
  <si>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</si>
  <si>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</si>
  <si>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</si>
  <si>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</si>
  <si>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</si>
  <si>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</si>
  <si>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</si>
  <si>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</si>
  <si>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</si>
  <si>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</si>
  <si>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</si>
  <si>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</si>
  <si>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</si>
  <si>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</si>
  <si>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</si>
  <si>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</si>
  <si>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</si>
  <si>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</si>
  <si>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</si>
  <si>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</si>
  <si>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</si>
  <si>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</si>
  <si>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</si>
  <si>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</si>
  <si>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</si>
  <si>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</si>
  <si>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</si>
  <si>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</si>
  <si>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</si>
  <si>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</si>
  <si>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</si>
  <si>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</si>
  <si>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</si>
  <si>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</si>
  <si>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</si>
  <si>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</si>
  <si>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</si>
  <si>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</si>
  <si>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</si>
  <si>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</si>
  <si>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</si>
  <si>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</si>
  <si>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</si>
  <si>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</si>
  <si>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</si>
  <si>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</si>
  <si>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</si>
  <si>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</si>
  <si>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</si>
  <si>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</si>
  <si>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</si>
  <si>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</si>
  <si>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</si>
  <si>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</si>
  <si>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</si>
  <si>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</si>
  <si>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</si>
  <si>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</si>
  <si>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</si>
  <si>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</si>
  <si>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</si>
  <si>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</si>
  <si>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</si>
  <si>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</si>
  <si>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</si>
  <si>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</si>
  <si>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</si>
  <si>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</si>
  <si>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</si>
  <si>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</si>
  <si>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</si>
  <si>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</si>
  <si>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</si>
  <si>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</si>
  <si>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</si>
  <si>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</si>
  <si>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</si>
  <si>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</si>
  <si>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</si>
  <si>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</si>
  <si>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</si>
  <si>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</si>
  <si>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</si>
  <si>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</si>
  <si>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</si>
  <si>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</si>
  <si>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</si>
  <si>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</si>
  <si>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</si>
  <si>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</si>
  <si>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</si>
  <si>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</si>
  <si>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</si>
  <si>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</si>
  <si>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</si>
  <si>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</si>
  <si>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</si>
  <si>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</si>
  <si>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</si>
  <si>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</si>
  <si>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</si>
  <si>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</si>
  <si>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</si>
  <si>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</si>
  <si>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</si>
  <si>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</si>
  <si>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</si>
  <si>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</si>
  <si>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</si>
  <si>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</si>
  <si>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</si>
  <si>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</si>
  <si>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</si>
  <si>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</si>
  <si>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</si>
  <si>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</si>
  <si>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</si>
  <si>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</si>
  <si>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</si>
  <si>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</si>
  <si>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</si>
  <si>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</si>
  <si>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</si>
  <si>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</si>
  <si>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</si>
  <si>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</si>
  <si>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</si>
  <si>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</si>
  <si>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</si>
  <si>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</si>
  <si>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</si>
  <si>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</si>
  <si>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</si>
  <si>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</si>
  <si>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</si>
  <si>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</si>
  <si>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</si>
  <si>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</si>
  <si>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</si>
  <si>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</si>
  <si>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</si>
  <si>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</si>
  <si>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</si>
  <si>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</si>
  <si>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</si>
  <si>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</si>
  <si>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</si>
  <si>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</si>
  <si>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</si>
  <si>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</si>
  <si>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</si>
  <si>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</si>
  <si>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</si>
  <si>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</si>
  <si>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</si>
  <si>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</si>
  <si>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</si>
  <si>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</si>
  <si>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</si>
  <si>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</si>
  <si>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</si>
  <si>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</si>
  <si>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</si>
  <si>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</si>
  <si>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</si>
  <si>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</si>
  <si>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</si>
  <si>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</si>
  <si>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</si>
  <si>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</si>
  <si>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</si>
  <si>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</si>
  <si>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</si>
  <si>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</si>
  <si>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</si>
  <si>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</si>
  <si>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</si>
  <si>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</si>
  <si>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</si>
  <si>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</si>
  <si>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</si>
  <si>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</si>
  <si>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</si>
  <si>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</si>
  <si>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</si>
  <si>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</si>
  <si>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</si>
  <si>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</si>
  <si>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</si>
  <si>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</si>
  <si>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</si>
  <si>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</si>
  <si>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</si>
  <si>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</si>
  <si>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</si>
  <si>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</si>
  <si>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</si>
  <si>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</si>
  <si>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</si>
  <si>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</si>
  <si>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</si>
  <si>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</si>
  <si>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</si>
  <si>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</si>
  <si>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</si>
  <si>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</si>
  <si>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</si>
  <si>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</si>
  <si>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</si>
  <si>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</si>
  <si>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</si>
  <si>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</si>
  <si>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</si>
  <si>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</si>
  <si>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</si>
  <si>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</si>
  <si>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</si>
  <si>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</si>
  <si>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</si>
  <si>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</si>
  <si>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</si>
  <si>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</si>
  <si>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</si>
  <si>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</si>
  <si>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</si>
  <si>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</si>
  <si>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</si>
  <si>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</si>
  <si>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</si>
  <si>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</si>
  <si>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</si>
  <si>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</si>
  <si>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</si>
  <si>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</si>
  <si>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</si>
  <si>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</si>
  <si>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</si>
  <si>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</si>
  <si>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</si>
  <si>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</si>
  <si>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</si>
  <si>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</si>
  <si>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</si>
  <si>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</si>
  <si>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</si>
  <si>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</si>
  <si>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</si>
  <si>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</si>
  <si>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</si>
  <si>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</si>
  <si>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</si>
  <si>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 xml:space="preserve"> 10-Jul-2025</t>
  </si>
  <si>
    <t>E</t>
  </si>
  <si>
    <t>COIL NEEDLE CHECK</t>
  </si>
  <si>
    <t xml:space="preserve"> 10-Jul-2025 06 17 55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</si>
</sst>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7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6">
    <xf numFmtId="0" fontId="0" fillId="0" borderId="0">
      <alignment vertical="center"/>
    </xf>
    <xf numFmtId="0" fontId="15" fillId="0" borderId="0">
      <alignment vertical="center"/>
    </xf>
    <xf numFmtId="0" fontId="16" fillId="0" borderId="0"/>
    <xf numFmtId="0" fontId="14" fillId="0" borderId="0"/>
    <xf numFmtId="0" fontId="13" fillId="0" borderId="0"/>
    <xf numFmtId="0" fontId="16" fillId="0" borderId="0">
      <alignment vertical="center"/>
    </xf>
    <xf numFmtId="3" fontId="25" fillId="0" borderId="0" applyFont="0" applyFill="0" applyBorder="0" applyAlignment="0" applyProtection="0"/>
    <xf numFmtId="0" fontId="12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2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0" fillId="3" borderId="13" xfId="5" applyNumberFormat="1" applyFont="1" applyFill="1" applyBorder="1" applyAlignment="1">
      <alignment horizontal="center" vertical="center" wrapText="1" shrinkToFit="1"/>
    </xf>
    <xf numFmtId="0" fontId="20" fillId="3" borderId="12" xfId="5" applyFont="1" applyFill="1" applyBorder="1" applyAlignment="1">
      <alignment horizontal="center" vertical="center" wrapText="1" shrinkToFit="1"/>
    </xf>
    <xf numFmtId="0" fontId="20" fillId="3" borderId="4" xfId="5" applyFont="1" applyFill="1" applyBorder="1" applyAlignment="1">
      <alignment horizontal="center" vertical="center" wrapText="1" shrinkToFit="1"/>
    </xf>
    <xf numFmtId="164" fontId="20" fillId="3" borderId="1" xfId="5" applyNumberFormat="1" applyFont="1" applyFill="1" applyBorder="1" applyAlignment="1">
      <alignment horizontal="center" vertical="center" wrapText="1" shrinkToFit="1"/>
    </xf>
    <xf numFmtId="164" fontId="20" fillId="3" borderId="14" xfId="5" applyNumberFormat="1" applyFont="1" applyFill="1" applyBorder="1" applyAlignment="1">
      <alignment horizontal="center" vertical="center" wrapText="1" shrinkToFit="1"/>
    </xf>
    <xf numFmtId="164" fontId="20" fillId="3" borderId="6" xfId="5" applyNumberFormat="1" applyFont="1" applyFill="1" applyBorder="1" applyAlignment="1">
      <alignment horizontal="center" vertical="center" wrapText="1" shrinkToFit="1"/>
    </xf>
    <xf numFmtId="164" fontId="20" fillId="3" borderId="15" xfId="5" applyNumberFormat="1" applyFont="1" applyFill="1" applyBorder="1" applyAlignment="1">
      <alignment horizontal="center" vertical="center" wrapText="1" shrinkToFit="1"/>
    </xf>
    <xf numFmtId="164" fontId="20" fillId="3" borderId="36" xfId="5" applyNumberFormat="1" applyFont="1" applyFill="1" applyBorder="1" applyAlignment="1">
      <alignment horizontal="center" vertical="center" wrapText="1" shrinkToFit="1"/>
    </xf>
    <xf numFmtId="0" fontId="20" fillId="3" borderId="1" xfId="5" applyFont="1" applyFill="1" applyBorder="1" applyAlignment="1">
      <alignment horizontal="center" vertical="center" wrapText="1" shrinkToFit="1"/>
    </xf>
    <xf numFmtId="0" fontId="20" fillId="3" borderId="13" xfId="5" applyFont="1" applyFill="1" applyBorder="1" applyAlignment="1">
      <alignment horizontal="center" vertical="center" wrapText="1" shrinkToFit="1"/>
    </xf>
    <xf numFmtId="0" fontId="20" fillId="3" borderId="19" xfId="5" applyFont="1" applyFill="1" applyBorder="1" applyAlignment="1">
      <alignment horizontal="center" vertical="center" wrapText="1" shrinkToFit="1"/>
    </xf>
    <xf numFmtId="0" fontId="18" fillId="3" borderId="17" xfId="5" applyFont="1" applyFill="1" applyBorder="1" applyAlignment="1">
      <alignment horizontal="center" vertical="center" wrapText="1"/>
    </xf>
    <xf numFmtId="0" fontId="18" fillId="3" borderId="25" xfId="5" applyFont="1" applyFill="1" applyBorder="1" applyAlignment="1">
      <alignment horizontal="center" vertical="center" wrapText="1"/>
    </xf>
    <xf numFmtId="0" fontId="23" fillId="6" borderId="35" xfId="5" applyFont="1" applyFill="1" applyBorder="1" applyAlignment="1">
      <alignment horizontal="center" vertical="center"/>
    </xf>
    <xf numFmtId="0" fontId="23" fillId="6" borderId="21" xfId="5" applyFont="1" applyFill="1" applyBorder="1" applyAlignment="1">
      <alignment horizontal="center" vertical="center"/>
    </xf>
    <xf numFmtId="164" fontId="24" fillId="6" borderId="22" xfId="5" applyNumberFormat="1" applyFont="1" applyFill="1" applyBorder="1" applyAlignment="1">
      <alignment horizontal="center" vertical="center"/>
    </xf>
    <xf numFmtId="164" fontId="24" fillId="6" borderId="23" xfId="5" applyNumberFormat="1" applyFont="1" applyFill="1" applyBorder="1" applyAlignment="1">
      <alignment horizontal="center" vertical="center"/>
    </xf>
    <xf numFmtId="164" fontId="24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7" fillId="0" borderId="0" xfId="0" applyFont="1">
      <alignment vertical="center"/>
    </xf>
    <xf numFmtId="164" fontId="27" fillId="4" borderId="0" xfId="0" applyNumberFormat="1" applyFont="1" applyFill="1">
      <alignment vertical="center"/>
    </xf>
    <xf numFmtId="0" fontId="27" fillId="4" borderId="0" xfId="0" applyFont="1" applyFill="1">
      <alignment vertical="center"/>
    </xf>
    <xf numFmtId="0" fontId="27" fillId="4" borderId="0" xfId="0" applyFont="1" applyFill="1" applyAlignment="1">
      <alignment horizontal="center" vertical="center"/>
    </xf>
    <xf numFmtId="167" fontId="27" fillId="0" borderId="0" xfId="0" applyNumberFormat="1" applyFont="1">
      <alignment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 applyProtection="1">
      <alignment horizontal="left" vertical="center" wrapText="1"/>
      <protection locked="0"/>
    </xf>
    <xf numFmtId="0" fontId="6" fillId="0" borderId="0" xfId="15"/>
    <xf numFmtId="164" fontId="22" fillId="2" borderId="41" xfId="15" applyNumberFormat="1" applyFont="1" applyFill="1" applyBorder="1" applyAlignment="1">
      <alignment horizontal="center" vertical="center"/>
    </xf>
    <xf numFmtId="164" fontId="22" fillId="2" borderId="23" xfId="15" applyNumberFormat="1" applyFont="1" applyFill="1" applyBorder="1" applyAlignment="1">
      <alignment horizontal="center" vertical="center"/>
    </xf>
    <xf numFmtId="164" fontId="22" fillId="2" borderId="40" xfId="15" applyNumberFormat="1" applyFont="1" applyFill="1" applyBorder="1" applyAlignment="1">
      <alignment horizontal="center" vertical="center"/>
    </xf>
    <xf numFmtId="164" fontId="22" fillId="2" borderId="42" xfId="15" applyNumberFormat="1" applyFont="1" applyFill="1" applyBorder="1" applyAlignment="1">
      <alignment horizontal="center" vertical="center"/>
    </xf>
    <xf numFmtId="164" fontId="22" fillId="2" borderId="39" xfId="15" applyNumberFormat="1" applyFont="1" applyFill="1" applyBorder="1" applyAlignment="1">
      <alignment horizontal="center" vertical="center"/>
    </xf>
    <xf numFmtId="0" fontId="21" fillId="5" borderId="18" xfId="15" applyFont="1" applyFill="1" applyBorder="1" applyAlignment="1">
      <alignment horizontal="center" vertical="center"/>
    </xf>
    <xf numFmtId="164" fontId="22" fillId="2" borderId="16" xfId="15" applyNumberFormat="1" applyFont="1" applyFill="1" applyBorder="1" applyAlignment="1">
      <alignment horizontal="center" vertical="center"/>
    </xf>
    <xf numFmtId="164" fontId="22" fillId="2" borderId="1" xfId="15" applyNumberFormat="1" applyFont="1" applyFill="1" applyBorder="1" applyAlignment="1">
      <alignment horizontal="center" vertical="center"/>
    </xf>
    <xf numFmtId="164" fontId="22" fillId="2" borderId="3" xfId="15" applyNumberFormat="1" applyFont="1" applyFill="1" applyBorder="1" applyAlignment="1">
      <alignment horizontal="center" vertical="center"/>
    </xf>
    <xf numFmtId="164" fontId="22" fillId="2" borderId="37" xfId="15" applyNumberFormat="1" applyFont="1" applyFill="1" applyBorder="1" applyAlignment="1">
      <alignment horizontal="center" vertical="center"/>
    </xf>
    <xf numFmtId="164" fontId="22" fillId="2" borderId="17" xfId="15" applyNumberFormat="1" applyFont="1" applyFill="1" applyBorder="1" applyAlignment="1">
      <alignment horizontal="center" vertical="center"/>
    </xf>
    <xf numFmtId="0" fontId="21" fillId="5" borderId="17" xfId="15" applyFont="1" applyFill="1" applyBorder="1" applyAlignment="1">
      <alignment horizontal="center" vertical="center"/>
    </xf>
    <xf numFmtId="164" fontId="22" fillId="2" borderId="19" xfId="15" applyNumberFormat="1" applyFont="1" applyFill="1" applyBorder="1" applyAlignment="1">
      <alignment horizontal="center" vertical="center"/>
    </xf>
    <xf numFmtId="164" fontId="22" fillId="2" borderId="2" xfId="15" applyNumberFormat="1" applyFont="1" applyFill="1" applyBorder="1" applyAlignment="1">
      <alignment horizontal="center" vertical="center"/>
    </xf>
    <xf numFmtId="164" fontId="22" fillId="2" borderId="5" xfId="15" applyNumberFormat="1" applyFont="1" applyFill="1" applyBorder="1" applyAlignment="1">
      <alignment horizontal="center" vertical="center"/>
    </xf>
    <xf numFmtId="164" fontId="22" fillId="2" borderId="38" xfId="15" applyNumberFormat="1" applyFont="1" applyFill="1" applyBorder="1" applyAlignment="1">
      <alignment horizontal="center" vertical="center"/>
    </xf>
    <xf numFmtId="164" fontId="22" fillId="2" borderId="18" xfId="15" applyNumberFormat="1" applyFont="1" applyFill="1" applyBorder="1" applyAlignment="1">
      <alignment horizontal="center" vertical="center"/>
    </xf>
    <xf numFmtId="164" fontId="22" fillId="2" borderId="13" xfId="15" applyNumberFormat="1" applyFont="1" applyFill="1" applyBorder="1" applyAlignment="1">
      <alignment horizontal="center" vertical="center"/>
    </xf>
    <xf numFmtId="164" fontId="22" fillId="2" borderId="12" xfId="15" applyNumberFormat="1" applyFont="1" applyFill="1" applyBorder="1" applyAlignment="1">
      <alignment horizontal="center" vertical="center"/>
    </xf>
    <xf numFmtId="0" fontId="21" fillId="5" borderId="25" xfId="15" applyFont="1" applyFill="1" applyBorder="1" applyAlignment="1">
      <alignment horizontal="center" vertical="center"/>
    </xf>
    <xf numFmtId="0" fontId="17" fillId="0" borderId="34" xfId="15" applyFont="1" applyBorder="1" applyAlignment="1">
      <alignment vertical="center" wrapText="1"/>
    </xf>
    <xf numFmtId="0" fontId="17" fillId="0" borderId="33" xfId="15" applyFont="1" applyBorder="1" applyAlignment="1">
      <alignment vertical="center" wrapText="1"/>
    </xf>
    <xf numFmtId="0" fontId="17" fillId="0" borderId="32" xfId="15" applyFont="1" applyBorder="1" applyAlignment="1">
      <alignment vertical="center" wrapText="1"/>
    </xf>
    <xf numFmtId="0" fontId="17" fillId="0" borderId="10" xfId="15" applyFont="1" applyBorder="1" applyAlignment="1">
      <alignment horizontal="center" vertical="center" wrapText="1"/>
    </xf>
    <xf numFmtId="0" fontId="17" fillId="0" borderId="26" xfId="15" applyFont="1" applyBorder="1" applyAlignment="1">
      <alignment vertical="center" wrapText="1"/>
    </xf>
    <xf numFmtId="0" fontId="17" fillId="0" borderId="27" xfId="15" applyFont="1" applyBorder="1" applyAlignment="1">
      <alignment vertical="center" wrapText="1"/>
    </xf>
    <xf numFmtId="0" fontId="17" fillId="0" borderId="28" xfId="15" applyFont="1" applyBorder="1" applyAlignment="1">
      <alignment vertical="center" wrapText="1"/>
    </xf>
    <xf numFmtId="0" fontId="17" fillId="0" borderId="29" xfId="15" applyFont="1" applyBorder="1" applyAlignment="1">
      <alignment horizontal="center" vertical="top" wrapText="1"/>
    </xf>
    <xf numFmtId="0" fontId="17" fillId="0" borderId="30" xfId="15" applyFont="1" applyBorder="1" applyAlignment="1">
      <alignment vertical="center" wrapText="1"/>
    </xf>
    <xf numFmtId="0" fontId="17" fillId="0" borderId="0" xfId="15" applyFont="1" applyAlignment="1">
      <alignment vertical="center" wrapText="1"/>
    </xf>
    <xf numFmtId="0" fontId="17" fillId="0" borderId="20" xfId="15" applyFont="1" applyBorder="1" applyAlignment="1">
      <alignment vertical="center" wrapText="1"/>
    </xf>
    <xf numFmtId="0" fontId="17" fillId="0" borderId="31" xfId="15" applyFont="1" applyBorder="1" applyAlignment="1">
      <alignment horizontal="center" wrapText="1"/>
    </xf>
    <xf numFmtId="14" fontId="17" fillId="0" borderId="31" xfId="15" applyNumberFormat="1" applyFont="1" applyBorder="1" applyAlignment="1">
      <alignment horizontal="center" vertical="top" wrapText="1"/>
    </xf>
    <xf numFmtId="0" fontId="17" fillId="0" borderId="9" xfId="15" applyFont="1" applyBorder="1" applyAlignment="1">
      <alignment vertical="center" wrapText="1"/>
    </xf>
    <xf numFmtId="0" fontId="17" fillId="0" borderId="8" xfId="15" applyFont="1" applyBorder="1" applyAlignment="1">
      <alignment vertical="center" wrapText="1"/>
    </xf>
    <xf numFmtId="0" fontId="17" fillId="0" borderId="7" xfId="15" applyFont="1" applyBorder="1" applyAlignment="1">
      <alignment vertical="center" wrapText="1"/>
    </xf>
    <xf numFmtId="0" fontId="17" fillId="0" borderId="11" xfId="15" applyFont="1" applyBorder="1" applyAlignment="1">
      <alignment horizontal="center" wrapText="1"/>
    </xf>
    <xf numFmtId="0" fontId="26" fillId="0" borderId="34" xfId="15" applyFont="1" applyBorder="1" applyAlignment="1">
      <alignment vertical="center" wrapText="1"/>
    </xf>
    <xf numFmtId="0" fontId="26" fillId="0" borderId="33" xfId="15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29" fillId="0" borderId="0" xfId="0" applyFont="1" applyAlignment="1"/>
    <xf numFmtId="164" fontId="30" fillId="7" borderId="1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164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16" fontId="31" fillId="0" borderId="1" xfId="0" applyNumberFormat="1" applyFont="1" applyBorder="1" applyAlignment="1">
      <alignment horizontal="center" vertical="center" wrapText="1"/>
    </xf>
    <xf numFmtId="0" fontId="30" fillId="9" borderId="17" xfId="0" applyFont="1" applyFill="1" applyBorder="1" applyAlignment="1">
      <alignment horizontal="right" vertical="center"/>
    </xf>
    <xf numFmtId="2" fontId="30" fillId="9" borderId="4" xfId="0" applyNumberFormat="1" applyFont="1" applyFill="1" applyBorder="1" applyAlignment="1">
      <alignment horizontal="left" vertical="center"/>
    </xf>
    <xf numFmtId="164" fontId="32" fillId="8" borderId="1" xfId="0" applyNumberFormat="1" applyFont="1" applyFill="1" applyBorder="1" applyAlignment="1">
      <alignment horizontal="center" vertical="center" wrapText="1"/>
    </xf>
    <xf numFmtId="0" fontId="32" fillId="3" borderId="1" xfId="0" applyFont="1" applyFill="1" applyBorder="1" applyAlignment="1">
      <alignment horizontal="center" vertical="center" wrapText="1"/>
    </xf>
    <xf numFmtId="2" fontId="32" fillId="3" borderId="1" xfId="0" applyNumberFormat="1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164" fontId="30" fillId="9" borderId="1" xfId="0" applyNumberFormat="1" applyFont="1" applyFill="1" applyBorder="1" applyAlignment="1">
      <alignment horizontal="center" vertical="center"/>
    </xf>
    <xf numFmtId="164" fontId="24" fillId="6" borderId="47" xfId="5" applyNumberFormat="1" applyFont="1" applyFill="1" applyBorder="1" applyAlignment="1">
      <alignment horizontal="center" vertical="center"/>
    </xf>
    <xf numFmtId="164" fontId="24" fillId="6" borderId="48" xfId="5" applyNumberFormat="1" applyFont="1" applyFill="1" applyBorder="1" applyAlignment="1">
      <alignment horizontal="center" vertical="center"/>
    </xf>
    <xf numFmtId="164" fontId="24" fillId="6" borderId="49" xfId="5" applyNumberFormat="1" applyFont="1" applyFill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 wrapText="1"/>
    </xf>
    <xf numFmtId="164" fontId="22" fillId="0" borderId="1" xfId="0" applyNumberFormat="1" applyFont="1" applyBorder="1" applyAlignment="1">
      <alignment horizontal="center" vertical="center" wrapText="1"/>
    </xf>
    <xf numFmtId="0" fontId="31" fillId="0" borderId="6" xfId="0" applyFont="1" applyBorder="1" applyAlignment="1">
      <alignment horizontal="center" vertical="center" wrapText="1"/>
    </xf>
    <xf numFmtId="0" fontId="34" fillId="0" borderId="0" xfId="0" applyFont="1" applyAlignment="1">
      <alignment vertical="center" wrapText="1"/>
    </xf>
    <xf numFmtId="0" fontId="34" fillId="0" borderId="0" xfId="0" applyFont="1">
      <alignment vertical="center"/>
    </xf>
    <xf numFmtId="15" fontId="34" fillId="0" borderId="0" xfId="0" applyNumberFormat="1" applyFont="1" applyAlignment="1"/>
    <xf numFmtId="0" fontId="35" fillId="0" borderId="32" xfId="15" applyFont="1" applyBorder="1" applyAlignment="1">
      <alignment horizontal="center" vertical="center" wrapText="1"/>
    </xf>
    <xf numFmtId="15" fontId="36" fillId="0" borderId="0" xfId="0" applyNumberFormat="1" applyFont="1" applyAlignment="1"/>
    <xf numFmtId="0" fontId="34" fillId="0" borderId="0" xfId="24" applyFont="1"/>
    <xf numFmtId="166" fontId="34" fillId="0" borderId="0" xfId="24" applyNumberFormat="1" applyFont="1"/>
    <xf numFmtId="0" fontId="34" fillId="0" borderId="0" xfId="24" quotePrefix="1" applyFont="1"/>
    <xf numFmtId="0" fontId="34" fillId="0" borderId="0" xfId="24" applyFont="1" applyAlignment="1">
      <alignment horizontal="center" vertical="center"/>
    </xf>
    <xf numFmtId="0" fontId="34" fillId="0" borderId="0" xfId="24" applyFont="1" applyAlignment="1">
      <alignment vertical="center"/>
    </xf>
    <xf numFmtId="0" fontId="34" fillId="0" borderId="0" xfId="25" applyFont="1" applyAlignment="1">
      <alignment horizontal="center" vertical="center"/>
    </xf>
    <xf numFmtId="164" fontId="34" fillId="0" borderId="0" xfId="24" applyNumberFormat="1" applyFont="1"/>
    <xf numFmtId="0" fontId="34" fillId="0" borderId="0" xfId="24" applyFont="1" applyAlignment="1">
      <alignment horizontal="center"/>
    </xf>
    <xf numFmtId="0" fontId="34" fillId="0" borderId="0" xfId="25" applyFont="1" applyAlignment="1">
      <alignment horizontal="center"/>
    </xf>
    <xf numFmtId="2" fontId="34" fillId="0" borderId="0" xfId="25" applyNumberFormat="1" applyFont="1" applyAlignment="1">
      <alignment horizontal="center" vertical="center"/>
    </xf>
    <xf numFmtId="0" fontId="34" fillId="0" borderId="0" xfId="25" applyFont="1"/>
    <xf numFmtId="2" fontId="34" fillId="0" borderId="0" xfId="25" applyNumberFormat="1" applyFont="1"/>
    <xf numFmtId="0" fontId="19" fillId="3" borderId="28" xfId="5" applyFont="1" applyFill="1" applyBorder="1" applyAlignment="1">
      <alignment horizontal="center" vertical="center" wrapText="1"/>
    </xf>
    <xf numFmtId="0" fontId="19" fillId="3" borderId="27" xfId="5" applyFont="1" applyFill="1" applyBorder="1" applyAlignment="1">
      <alignment horizontal="center" vertical="center" wrapText="1"/>
    </xf>
    <xf numFmtId="0" fontId="19" fillId="3" borderId="26" xfId="5" applyFont="1" applyFill="1" applyBorder="1" applyAlignment="1">
      <alignment horizontal="center" vertical="center" wrapText="1"/>
    </xf>
    <xf numFmtId="0" fontId="17" fillId="4" borderId="11" xfId="5" applyFont="1" applyFill="1" applyBorder="1" applyAlignment="1">
      <alignment horizontal="center" vertical="center" wrapText="1"/>
    </xf>
    <xf numFmtId="0" fontId="17" fillId="4" borderId="35" xfId="5" applyFont="1" applyFill="1" applyBorder="1" applyAlignment="1">
      <alignment horizontal="center" vertical="center" wrapText="1"/>
    </xf>
    <xf numFmtId="0" fontId="17" fillId="4" borderId="43" xfId="5" applyFont="1" applyFill="1" applyBorder="1" applyAlignment="1">
      <alignment horizontal="center" vertical="center" wrapText="1"/>
    </xf>
    <xf numFmtId="0" fontId="17" fillId="4" borderId="44" xfId="5" applyFont="1" applyFill="1" applyBorder="1" applyAlignment="1">
      <alignment horizontal="center" vertical="center" wrapText="1"/>
    </xf>
    <xf numFmtId="0" fontId="18" fillId="3" borderId="32" xfId="5" applyFont="1" applyFill="1" applyBorder="1" applyAlignment="1">
      <alignment horizontal="center" vertical="center" wrapText="1"/>
    </xf>
    <xf numFmtId="0" fontId="18" fillId="3" borderId="35" xfId="5" applyFont="1" applyFill="1" applyBorder="1" applyAlignment="1">
      <alignment horizontal="center" vertical="center" wrapText="1"/>
    </xf>
    <xf numFmtId="0" fontId="17" fillId="3" borderId="11" xfId="5" applyFont="1" applyFill="1" applyBorder="1" applyAlignment="1">
      <alignment horizontal="center" vertical="center" wrapText="1"/>
    </xf>
    <xf numFmtId="0" fontId="17" fillId="3" borderId="8" xfId="5" applyFont="1" applyFill="1" applyBorder="1" applyAlignment="1">
      <alignment horizontal="center" vertical="center" wrapText="1"/>
    </xf>
    <xf numFmtId="0" fontId="17" fillId="3" borderId="9" xfId="5" applyFont="1" applyFill="1" applyBorder="1" applyAlignment="1">
      <alignment horizontal="center" vertical="center" wrapText="1"/>
    </xf>
    <xf numFmtId="0" fontId="17" fillId="3" borderId="7" xfId="5" applyFont="1" applyFill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0" borderId="45" xfId="0" applyFont="1" applyBorder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30" fillId="7" borderId="17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0" fillId="9" borderId="17" xfId="0" applyFont="1" applyFill="1" applyBorder="1" applyAlignment="1">
      <alignment horizontal="center" vertical="center"/>
    </xf>
    <xf numFmtId="0" fontId="30" fillId="9" borderId="4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2" fillId="3" borderId="3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32" fillId="8" borderId="3" xfId="0" applyFont="1" applyFill="1" applyBorder="1" applyAlignment="1">
      <alignment horizontal="center" vertical="center" wrapText="1"/>
    </xf>
    <xf numFmtId="0" fontId="32" fillId="8" borderId="4" xfId="0" applyFont="1" applyFill="1" applyBorder="1" applyAlignment="1">
      <alignment horizontal="center" vertical="center" wrapText="1"/>
    </xf>
    <xf numFmtId="0" fontId="32" fillId="0" borderId="46" xfId="0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31" fillId="0" borderId="4" xfId="0" applyFont="1" applyBorder="1" applyAlignment="1">
      <alignment horizontal="center" vertical="center" wrapText="1"/>
    </xf>
    <xf numFmtId="0" fontId="32" fillId="10" borderId="3" xfId="0" applyFont="1" applyFill="1" applyBorder="1" applyAlignment="1">
      <alignment horizontal="center" vertical="center" wrapText="1"/>
    </xf>
    <xf numFmtId="0" fontId="32" fillId="10" borderId="4" xfId="0" applyFont="1" applyFill="1" applyBorder="1" applyAlignment="1">
      <alignment horizontal="center" vertical="center" wrapText="1"/>
    </xf>
  </cellXfs>
  <cellStyles count="26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493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156</v>
      </c>
      <c r="F1" s="28">
        <v>4</v>
      </c>
      <c r="G1" s="25" t="s">
        <v>155</v>
      </c>
      <c r="H1" s="25" t="s">
        <v>154</v>
      </c>
      <c r="I1" s="29" t="s">
        <v>496</v>
      </c>
      <c r="J1" s="25" t="s">
        <v>144</v>
      </c>
      <c r="K1" s="25" t="s">
        <v>499</v>
      </c>
      <c r="L1" s="25" t="s">
        <v>497</v>
      </c>
    </row>
    <row r="2" spans="1:12">
      <c r="A2" s="19"/>
      <c r="C2" s="20" t="str">
        <f>IF(AND(A2&lt;&gt;"",B2&lt;&gt;""),IF(A2&lt;0.002,"NG Zero Set",IF(B2-A2-D2&lt;0.27,"Badmark",B2-A2-D2)),"")</f>
        <v/>
      </c>
      <c r="D2" s="26">
        <v>0</v>
      </c>
      <c r="H2" s="19"/>
    </row>
    <row r="3" spans="1:12">
      <c r="A3" s="19"/>
      <c r="C3" s="20" t="str">
        <f t="shared" ref="C3:C49" si="0">IF(AND(A3&lt;&gt;"",B3&lt;&gt;""),IF(A3&lt;0.002,"NG Zero Set",IF(B3-A3-D3&lt;0.27,"Badmark",B3-A3-D3)),"")</f>
        <v/>
      </c>
      <c r="D3" s="26">
        <v>0</v>
      </c>
      <c r="F3" s="19"/>
      <c r="G3" s="19"/>
      <c r="H3" s="19"/>
    </row>
    <row r="4" spans="1:12">
      <c r="A4" s="19"/>
      <c r="C4" s="20" t="str">
        <f t="shared" si="0"/>
        <v/>
      </c>
      <c r="D4" s="26">
        <v>0</v>
      </c>
      <c r="G4" s="23"/>
      <c r="H4" s="19"/>
    </row>
    <row r="5" spans="1:12">
      <c r="A5" s="19"/>
      <c r="C5" s="20" t="str">
        <f t="shared" si="0"/>
        <v/>
      </c>
      <c r="D5" s="26">
        <v>0</v>
      </c>
      <c r="F5" s="23"/>
      <c r="G5" s="23"/>
      <c r="H5" s="19"/>
    </row>
    <row r="6" spans="1:12">
      <c r="A6" s="19"/>
      <c r="C6" s="20" t="str">
        <f t="shared" si="0"/>
        <v/>
      </c>
      <c r="D6" s="26">
        <v>0</v>
      </c>
      <c r="E6"/>
      <c r="F6" s="23"/>
      <c r="G6" s="23"/>
      <c r="H6" s="19"/>
    </row>
    <row r="7" spans="1:12" ht="13.5" customHeight="1">
      <c r="A7" s="19"/>
      <c r="C7" s="20" t="str">
        <f t="shared" si="0"/>
        <v/>
      </c>
      <c r="D7" s="26">
        <v>0</v>
      </c>
      <c r="E7"/>
      <c r="F7" s="23"/>
      <c r="G7" s="23"/>
      <c r="H7" s="19"/>
    </row>
    <row r="8" spans="1:12">
      <c r="A8" s="19"/>
      <c r="C8" s="20" t="str">
        <f t="shared" si="0"/>
        <v/>
      </c>
      <c r="D8" s="26">
        <v>0</v>
      </c>
      <c r="E8"/>
      <c r="F8" s="23"/>
      <c r="G8" s="23"/>
      <c r="H8" s="19"/>
      <c r="K8" s="24"/>
    </row>
    <row r="9" spans="1:12">
      <c r="A9" s="19"/>
      <c r="C9" s="20" t="str">
        <f t="shared" si="0"/>
        <v/>
      </c>
      <c r="D9" s="26">
        <v>0</v>
      </c>
      <c r="E9"/>
      <c r="F9" s="23"/>
      <c r="G9" s="23"/>
      <c r="H9" s="19"/>
    </row>
    <row r="10" spans="1:12">
      <c r="A10" s="19"/>
      <c r="C10" s="20" t="str">
        <f t="shared" si="0"/>
        <v/>
      </c>
      <c r="D10" s="26">
        <v>0</v>
      </c>
      <c r="E10"/>
      <c r="F10" s="23"/>
      <c r="G10" s="23"/>
      <c r="H10" s="19"/>
    </row>
    <row r="11" spans="1:12">
      <c r="A11" s="19"/>
      <c r="C11" s="20" t="str">
        <f t="shared" si="0"/>
        <v/>
      </c>
      <c r="D11" s="26">
        <v>0</v>
      </c>
      <c r="E11"/>
      <c r="F11" s="23"/>
      <c r="G11" s="23"/>
      <c r="H11" s="19"/>
    </row>
    <row r="12" spans="1:12">
      <c r="A12" s="19"/>
      <c r="C12" s="20" t="str">
        <f t="shared" si="0"/>
        <v/>
      </c>
      <c r="D12" s="26">
        <v>0</v>
      </c>
      <c r="E12"/>
      <c r="F12" s="23"/>
      <c r="G12" s="23"/>
      <c r="H12" s="19"/>
    </row>
    <row r="13" spans="1:12">
      <c r="A13" s="19"/>
      <c r="C13" s="20" t="str">
        <f t="shared" si="0"/>
        <v/>
      </c>
      <c r="D13" s="26">
        <v>0</v>
      </c>
      <c r="E13"/>
      <c r="F13" s="23"/>
      <c r="G13" s="23"/>
      <c r="H13" s="19"/>
    </row>
    <row r="14" spans="1:12">
      <c r="A14" s="19"/>
      <c r="C14" s="20" t="str">
        <f t="shared" si="0"/>
        <v/>
      </c>
      <c r="D14" s="26">
        <v>0</v>
      </c>
      <c r="G14" s="23"/>
      <c r="H14" s="23"/>
      <c r="I14" s="19"/>
    </row>
    <row r="15" spans="1:12">
      <c r="A15" s="19"/>
      <c r="C15" s="20" t="str">
        <f t="shared" si="0"/>
        <v/>
      </c>
      <c r="D15" s="26">
        <v>0</v>
      </c>
      <c r="G15" s="23"/>
      <c r="H15" s="23"/>
      <c r="I15" s="19"/>
    </row>
    <row r="16" spans="1:12">
      <c r="A16" s="19"/>
      <c r="C16" s="20" t="str">
        <f t="shared" si="0"/>
        <v/>
      </c>
      <c r="D16" s="26">
        <v>0</v>
      </c>
      <c r="G16" s="23"/>
      <c r="H16" s="23"/>
      <c r="I16" s="19"/>
    </row>
    <row r="17" spans="1:9">
      <c r="A17" s="19"/>
      <c r="C17" s="20" t="str">
        <f t="shared" si="0"/>
        <v/>
      </c>
      <c r="D17" s="26">
        <v>0</v>
      </c>
      <c r="G17" s="23"/>
      <c r="H17" s="23"/>
      <c r="I17" s="19"/>
    </row>
    <row r="18" spans="1:9">
      <c r="A18" s="19"/>
      <c r="C18" s="20" t="str">
        <f t="shared" si="0"/>
        <v/>
      </c>
      <c r="D18" s="26">
        <v>0</v>
      </c>
      <c r="G18" s="23"/>
      <c r="H18" s="23"/>
      <c r="I18" s="19"/>
    </row>
    <row r="19" spans="1:9">
      <c r="A19" s="19"/>
      <c r="C19" s="20" t="str">
        <f t="shared" si="0"/>
        <v/>
      </c>
      <c r="D19" s="26">
        <v>0</v>
      </c>
      <c r="G19" s="23"/>
      <c r="H19" s="23"/>
      <c r="I19" s="19"/>
    </row>
    <row r="20" spans="1:9">
      <c r="A20" s="19"/>
      <c r="C20" s="20" t="str">
        <f t="shared" si="0"/>
        <v/>
      </c>
      <c r="D20" s="26">
        <v>0</v>
      </c>
      <c r="G20" s="23"/>
      <c r="H20" s="23"/>
      <c r="I20" s="19"/>
    </row>
    <row r="21" spans="1:9">
      <c r="A21" s="19"/>
      <c r="C21" s="20" t="str">
        <f t="shared" si="0"/>
        <v/>
      </c>
      <c r="D21" s="26">
        <v>0</v>
      </c>
      <c r="G21" s="23"/>
      <c r="H21" s="23"/>
      <c r="I21" s="19"/>
    </row>
    <row r="22" spans="1:9">
      <c r="A22" s="19"/>
      <c r="C22" s="20" t="str">
        <f t="shared" si="0"/>
        <v/>
      </c>
      <c r="D22" s="26">
        <v>0</v>
      </c>
      <c r="G22" s="23"/>
      <c r="H22" s="23"/>
      <c r="I22" s="19"/>
    </row>
    <row r="23" spans="1:9">
      <c r="A23" s="19"/>
      <c r="C23" s="20" t="str">
        <f t="shared" si="0"/>
        <v/>
      </c>
      <c r="D23" s="26">
        <v>0</v>
      </c>
      <c r="G23" s="23"/>
      <c r="H23" s="23"/>
      <c r="I23" s="19"/>
    </row>
    <row r="24" spans="1:9">
      <c r="A24" s="19"/>
      <c r="C24" s="20" t="str">
        <f t="shared" si="0"/>
        <v/>
      </c>
      <c r="D24" s="26">
        <v>0</v>
      </c>
      <c r="G24" s="23"/>
      <c r="H24" s="23"/>
      <c r="I24" s="19"/>
    </row>
    <row r="25" spans="1:9">
      <c r="A25" s="19"/>
      <c r="C25" s="20" t="str">
        <f t="shared" si="0"/>
        <v/>
      </c>
      <c r="D25" s="26">
        <v>0</v>
      </c>
      <c r="G25" s="23"/>
      <c r="H25" s="23"/>
      <c r="I25" s="19"/>
    </row>
    <row r="26" spans="1:9">
      <c r="A26" s="19"/>
      <c r="C26" s="20" t="str">
        <f t="shared" si="0"/>
        <v/>
      </c>
      <c r="D26" s="26">
        <v>0</v>
      </c>
      <c r="G26" s="23"/>
      <c r="H26" s="23"/>
      <c r="I26" s="19"/>
    </row>
    <row r="27" spans="1:9">
      <c r="A27" s="19"/>
      <c r="C27" s="20" t="str">
        <f t="shared" si="0"/>
        <v/>
      </c>
      <c r="D27" s="26">
        <v>0</v>
      </c>
      <c r="G27" s="23"/>
      <c r="H27" s="23"/>
      <c r="I27" s="19"/>
    </row>
    <row r="28" spans="1:9">
      <c r="A28" s="19"/>
      <c r="C28" s="20" t="str">
        <f t="shared" si="0"/>
        <v/>
      </c>
      <c r="D28" s="26">
        <v>0</v>
      </c>
      <c r="G28" s="23"/>
      <c r="H28" s="23"/>
      <c r="I28" s="19"/>
    </row>
    <row r="29" spans="1:9">
      <c r="A29" s="19"/>
      <c r="C29" s="20" t="str">
        <f t="shared" si="0"/>
        <v/>
      </c>
      <c r="D29" s="26">
        <v>0</v>
      </c>
      <c r="G29" s="23"/>
      <c r="H29" s="23"/>
      <c r="I29" s="19"/>
    </row>
    <row r="30" spans="1:9">
      <c r="A30" s="19"/>
      <c r="C30" s="20" t="str">
        <f t="shared" si="0"/>
        <v/>
      </c>
      <c r="D30" s="26">
        <v>0</v>
      </c>
    </row>
    <row r="31" spans="1:9">
      <c r="A31" s="19"/>
      <c r="C31" s="20" t="str">
        <f t="shared" si="0"/>
        <v/>
      </c>
      <c r="D31" s="26">
        <v>0</v>
      </c>
    </row>
    <row r="32" spans="1:9">
      <c r="A32" s="19"/>
      <c r="C32" s="20" t="str">
        <f t="shared" si="0"/>
        <v/>
      </c>
      <c r="D32" s="26">
        <v>0</v>
      </c>
    </row>
    <row r="33" spans="1:4">
      <c r="A33" s="19"/>
      <c r="C33" s="20" t="str">
        <f t="shared" si="0"/>
        <v/>
      </c>
      <c r="D33" s="26">
        <v>0</v>
      </c>
    </row>
    <row r="34" spans="1:4">
      <c r="A34" s="19"/>
      <c r="C34" s="20" t="str">
        <f t="shared" si="0"/>
        <v/>
      </c>
      <c r="D34" s="26">
        <v>0</v>
      </c>
    </row>
    <row r="35" spans="1:4">
      <c r="A35" s="19"/>
      <c r="C35" s="20" t="str">
        <f t="shared" si="0"/>
        <v/>
      </c>
      <c r="D35" s="26">
        <v>0</v>
      </c>
    </row>
    <row r="36" spans="1:4">
      <c r="A36" s="19"/>
      <c r="C36" s="20" t="str">
        <f t="shared" si="0"/>
        <v/>
      </c>
      <c r="D36" s="26">
        <v>0</v>
      </c>
    </row>
    <row r="37" spans="1:4">
      <c r="A37" s="19"/>
      <c r="C37" s="20" t="str">
        <f t="shared" si="0"/>
        <v/>
      </c>
      <c r="D37" s="26">
        <v>0</v>
      </c>
    </row>
    <row r="38" spans="1:4">
      <c r="A38" s="19"/>
      <c r="C38" s="20" t="str">
        <f t="shared" si="0"/>
        <v/>
      </c>
      <c r="D38" s="26">
        <v>0</v>
      </c>
    </row>
    <row r="39" spans="1:4">
      <c r="A39" s="19"/>
      <c r="C39" s="20" t="str">
        <f t="shared" si="0"/>
        <v/>
      </c>
      <c r="D39" s="26">
        <v>0</v>
      </c>
    </row>
    <row r="40" spans="1:4">
      <c r="A40" s="19"/>
      <c r="C40" s="20" t="str">
        <f t="shared" si="0"/>
        <v/>
      </c>
      <c r="D40" s="26">
        <v>0</v>
      </c>
    </row>
    <row r="41" spans="1:4">
      <c r="A41" s="19"/>
      <c r="C41" s="20" t="str">
        <f t="shared" si="0"/>
        <v/>
      </c>
      <c r="D41" s="26">
        <v>0</v>
      </c>
    </row>
    <row r="42" spans="1:4">
      <c r="A42" s="19"/>
      <c r="C42" s="20" t="str">
        <f t="shared" si="0"/>
        <v/>
      </c>
      <c r="D42" s="26">
        <v>0</v>
      </c>
    </row>
    <row r="43" spans="1:4">
      <c r="A43" s="19"/>
      <c r="C43" s="20" t="str">
        <f t="shared" si="0"/>
        <v/>
      </c>
      <c r="D43" s="26">
        <v>0</v>
      </c>
    </row>
    <row r="44" spans="1:4">
      <c r="A44" s="19"/>
      <c r="C44" s="20" t="str">
        <f t="shared" si="0"/>
        <v/>
      </c>
      <c r="D44" s="26">
        <v>0</v>
      </c>
    </row>
    <row r="45" spans="1:4">
      <c r="A45" s="19"/>
      <c r="C45" s="20" t="str">
        <f t="shared" si="0"/>
        <v/>
      </c>
      <c r="D45" s="26">
        <v>0</v>
      </c>
    </row>
    <row r="46" spans="1:4">
      <c r="A46" s="19"/>
      <c r="C46" s="20" t="str">
        <f t="shared" si="0"/>
        <v/>
      </c>
      <c r="D46" s="26">
        <v>0</v>
      </c>
    </row>
    <row r="47" spans="1:4">
      <c r="A47" s="19"/>
      <c r="C47" s="20" t="str">
        <f t="shared" si="0"/>
        <v/>
      </c>
      <c r="D47" s="26">
        <v>0</v>
      </c>
    </row>
    <row r="48" spans="1:4">
      <c r="A48" s="19"/>
      <c r="C48" s="20" t="str">
        <f t="shared" si="0"/>
        <v/>
      </c>
      <c r="D48" s="26">
        <v>0</v>
      </c>
    </row>
    <row r="49" spans="1:4">
      <c r="A49" s="19"/>
      <c r="C49" s="20" t="str">
        <f t="shared" si="0"/>
        <v/>
      </c>
      <c r="D49" s="26">
        <v>0</v>
      </c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CAG2" activePane="bottomRight" state="frozen"/>
      <selection pane="topRight" activeCell="B1" sqref="B1"/>
      <selection pane="bottomLeft" activeCell="A2" sqref="A2"/>
      <selection pane="bottomRight" activeCell="CAM2" sqref="CAM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378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226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420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227</v>
      </c>
      <c r="CAN1" s="103" t="s">
        <v>228</v>
      </c>
      <c r="CAO1" s="103" t="s">
        <v>287</v>
      </c>
      <c r="CAP1" s="103" t="s">
        <v>318</v>
      </c>
      <c r="CAQ1" s="103" t="s">
        <v>319</v>
      </c>
      <c r="CAR1" s="103" t="s">
        <v>229</v>
      </c>
      <c r="CAS1" s="103" t="s">
        <v>230</v>
      </c>
      <c r="CAT1" s="103" t="s">
        <v>288</v>
      </c>
      <c r="CAU1" s="103" t="s">
        <v>320</v>
      </c>
      <c r="CAV1" s="103" t="s">
        <v>321</v>
      </c>
      <c r="CAW1" s="103" t="s">
        <v>231</v>
      </c>
      <c r="CAX1" s="103" t="s">
        <v>232</v>
      </c>
      <c r="CAY1" s="103" t="s">
        <v>289</v>
      </c>
      <c r="CAZ1" s="103" t="s">
        <v>322</v>
      </c>
      <c r="CBA1" s="103" t="s">
        <v>323</v>
      </c>
      <c r="CBB1" s="103" t="s">
        <v>233</v>
      </c>
      <c r="CBC1" s="103" t="s">
        <v>234</v>
      </c>
      <c r="CBD1" s="103" t="s">
        <v>290</v>
      </c>
      <c r="CBE1" s="103" t="s">
        <v>324</v>
      </c>
      <c r="CBF1" s="103" t="s">
        <v>325</v>
      </c>
      <c r="CBG1" s="103" t="s">
        <v>235</v>
      </c>
      <c r="CBH1" s="103" t="s">
        <v>236</v>
      </c>
      <c r="CBI1" s="103" t="s">
        <v>291</v>
      </c>
      <c r="CBJ1" s="103" t="s">
        <v>326</v>
      </c>
      <c r="CBK1" s="103" t="s">
        <v>327</v>
      </c>
      <c r="CBL1" s="103" t="s">
        <v>237</v>
      </c>
      <c r="CBM1" s="103" t="s">
        <v>238</v>
      </c>
      <c r="CBN1" s="103" t="s">
        <v>292</v>
      </c>
      <c r="CBO1" s="103" t="s">
        <v>328</v>
      </c>
      <c r="CBP1" s="103" t="s">
        <v>329</v>
      </c>
      <c r="CBQ1" s="103" t="s">
        <v>239</v>
      </c>
      <c r="CBR1" s="103" t="s">
        <v>240</v>
      </c>
      <c r="CBS1" s="103" t="s">
        <v>293</v>
      </c>
      <c r="CBT1" s="103" t="s">
        <v>330</v>
      </c>
      <c r="CBU1" s="103" t="s">
        <v>331</v>
      </c>
      <c r="CBV1" s="103" t="s">
        <v>241</v>
      </c>
      <c r="CBW1" s="103" t="s">
        <v>242</v>
      </c>
      <c r="CBX1" s="103" t="s">
        <v>294</v>
      </c>
      <c r="CBY1" s="103" t="s">
        <v>332</v>
      </c>
      <c r="CBZ1" s="103" t="s">
        <v>333</v>
      </c>
      <c r="CCA1" s="103" t="s">
        <v>243</v>
      </c>
      <c r="CCB1" s="103" t="s">
        <v>244</v>
      </c>
      <c r="CCC1" s="103" t="s">
        <v>295</v>
      </c>
      <c r="CCD1" s="103" t="s">
        <v>334</v>
      </c>
      <c r="CCE1" s="103" t="s">
        <v>335</v>
      </c>
      <c r="CCF1" s="103" t="s">
        <v>245</v>
      </c>
      <c r="CCG1" s="103" t="s">
        <v>246</v>
      </c>
      <c r="CCH1" s="103" t="s">
        <v>296</v>
      </c>
      <c r="CCI1" s="103" t="s">
        <v>336</v>
      </c>
      <c r="CCJ1" s="103" t="s">
        <v>337</v>
      </c>
      <c r="CCK1" s="103" t="s">
        <v>247</v>
      </c>
      <c r="CCL1" s="103" t="s">
        <v>248</v>
      </c>
      <c r="CCM1" s="103" t="s">
        <v>297</v>
      </c>
      <c r="CCN1" s="103" t="s">
        <v>338</v>
      </c>
      <c r="CCO1" s="103" t="s">
        <v>339</v>
      </c>
      <c r="CCP1" s="103" t="s">
        <v>249</v>
      </c>
      <c r="CCQ1" s="103" t="s">
        <v>250</v>
      </c>
      <c r="CCR1" s="103" t="s">
        <v>298</v>
      </c>
      <c r="CCS1" s="103" t="s">
        <v>340</v>
      </c>
      <c r="CCT1" s="103" t="s">
        <v>341</v>
      </c>
      <c r="CCU1" s="103" t="s">
        <v>251</v>
      </c>
      <c r="CCV1" s="103" t="s">
        <v>252</v>
      </c>
      <c r="CCW1" s="103" t="s">
        <v>299</v>
      </c>
      <c r="CCX1" s="103" t="s">
        <v>342</v>
      </c>
      <c r="CCY1" s="103" t="s">
        <v>343</v>
      </c>
      <c r="CCZ1" s="103" t="s">
        <v>253</v>
      </c>
      <c r="CDA1" s="103" t="s">
        <v>254</v>
      </c>
      <c r="CDB1" s="103" t="s">
        <v>300</v>
      </c>
      <c r="CDC1" s="103" t="s">
        <v>344</v>
      </c>
      <c r="CDD1" s="103" t="s">
        <v>345</v>
      </c>
      <c r="CDE1" s="103" t="s">
        <v>255</v>
      </c>
      <c r="CDF1" s="103" t="s">
        <v>256</v>
      </c>
      <c r="CDG1" s="103" t="s">
        <v>301</v>
      </c>
      <c r="CDH1" s="103" t="s">
        <v>346</v>
      </c>
      <c r="CDI1" s="103" t="s">
        <v>347</v>
      </c>
      <c r="CDJ1" s="103" t="s">
        <v>257</v>
      </c>
      <c r="CDK1" s="103" t="s">
        <v>258</v>
      </c>
      <c r="CDL1" s="103" t="s">
        <v>302</v>
      </c>
      <c r="CDM1" s="103" t="s">
        <v>348</v>
      </c>
      <c r="CDN1" s="103" t="s">
        <v>349</v>
      </c>
      <c r="CDO1" s="103" t="s">
        <v>259</v>
      </c>
      <c r="CDP1" s="103" t="s">
        <v>260</v>
      </c>
      <c r="CDQ1" s="103" t="s">
        <v>303</v>
      </c>
      <c r="CDR1" s="103" t="s">
        <v>350</v>
      </c>
      <c r="CDS1" s="103" t="s">
        <v>351</v>
      </c>
      <c r="CDT1" s="103" t="s">
        <v>261</v>
      </c>
      <c r="CDU1" s="103" t="s">
        <v>262</v>
      </c>
      <c r="CDV1" s="103" t="s">
        <v>304</v>
      </c>
      <c r="CDW1" s="103" t="s">
        <v>352</v>
      </c>
      <c r="CDX1" s="103" t="s">
        <v>353</v>
      </c>
      <c r="CDY1" s="103" t="s">
        <v>263</v>
      </c>
      <c r="CDZ1" s="103" t="s">
        <v>264</v>
      </c>
      <c r="CEA1" s="103" t="s">
        <v>305</v>
      </c>
      <c r="CEB1" s="103" t="s">
        <v>354</v>
      </c>
      <c r="CEC1" s="103" t="s">
        <v>355</v>
      </c>
      <c r="CED1" s="103" t="s">
        <v>265</v>
      </c>
      <c r="CEE1" s="103" t="s">
        <v>266</v>
      </c>
      <c r="CEF1" s="103" t="s">
        <v>306</v>
      </c>
      <c r="CEG1" s="103" t="s">
        <v>356</v>
      </c>
      <c r="CEH1" s="103" t="s">
        <v>357</v>
      </c>
      <c r="CEI1" s="103" t="s">
        <v>267</v>
      </c>
      <c r="CEJ1" s="103" t="s">
        <v>268</v>
      </c>
      <c r="CEK1" s="103" t="s">
        <v>307</v>
      </c>
      <c r="CEL1" s="103" t="s">
        <v>358</v>
      </c>
      <c r="CEM1" s="103" t="s">
        <v>359</v>
      </c>
      <c r="CEN1" s="103" t="s">
        <v>269</v>
      </c>
      <c r="CEO1" s="103" t="s">
        <v>270</v>
      </c>
      <c r="CEP1" s="103" t="s">
        <v>308</v>
      </c>
      <c r="CEQ1" s="103" t="s">
        <v>360</v>
      </c>
      <c r="CER1" s="103" t="s">
        <v>361</v>
      </c>
      <c r="CES1" s="103" t="s">
        <v>271</v>
      </c>
      <c r="CET1" s="103" t="s">
        <v>272</v>
      </c>
      <c r="CEU1" s="103" t="s">
        <v>309</v>
      </c>
      <c r="CEV1" s="103" t="s">
        <v>362</v>
      </c>
      <c r="CEW1" s="103" t="s">
        <v>363</v>
      </c>
      <c r="CEX1" s="103" t="s">
        <v>273</v>
      </c>
      <c r="CEY1" s="103" t="s">
        <v>274</v>
      </c>
      <c r="CEZ1" s="103" t="s">
        <v>310</v>
      </c>
      <c r="CFA1" s="103" t="s">
        <v>364</v>
      </c>
      <c r="CFB1" s="103" t="s">
        <v>365</v>
      </c>
      <c r="CFC1" s="103" t="s">
        <v>275</v>
      </c>
      <c r="CFD1" s="103" t="s">
        <v>276</v>
      </c>
      <c r="CFE1" s="103" t="s">
        <v>311</v>
      </c>
      <c r="CFF1" s="103" t="s">
        <v>366</v>
      </c>
      <c r="CFG1" s="103" t="s">
        <v>367</v>
      </c>
      <c r="CFH1" s="103" t="s">
        <v>277</v>
      </c>
      <c r="CFI1" s="103" t="s">
        <v>278</v>
      </c>
      <c r="CFJ1" s="103" t="s">
        <v>312</v>
      </c>
      <c r="CFK1" s="103" t="s">
        <v>368</v>
      </c>
      <c r="CFL1" s="103" t="s">
        <v>369</v>
      </c>
      <c r="CFM1" s="103" t="s">
        <v>279</v>
      </c>
      <c r="CFN1" s="103" t="s">
        <v>280</v>
      </c>
      <c r="CFO1" s="103" t="s">
        <v>313</v>
      </c>
      <c r="CFP1" s="103" t="s">
        <v>370</v>
      </c>
      <c r="CFQ1" s="103" t="s">
        <v>371</v>
      </c>
      <c r="CFR1" s="103" t="s">
        <v>281</v>
      </c>
      <c r="CFS1" s="103" t="s">
        <v>282</v>
      </c>
      <c r="CFT1" s="103" t="s">
        <v>314</v>
      </c>
      <c r="CFU1" s="103" t="s">
        <v>372</v>
      </c>
      <c r="CFV1" s="103" t="s">
        <v>373</v>
      </c>
      <c r="CFW1" s="103" t="s">
        <v>283</v>
      </c>
      <c r="CFX1" s="103" t="s">
        <v>284</v>
      </c>
      <c r="CFY1" s="103" t="s">
        <v>315</v>
      </c>
      <c r="CFZ1" s="103" t="s">
        <v>374</v>
      </c>
      <c r="CGA1" s="103" t="s">
        <v>375</v>
      </c>
      <c r="CGB1" s="103" t="s">
        <v>285</v>
      </c>
      <c r="CGC1" s="103" t="s">
        <v>286</v>
      </c>
      <c r="CGD1" s="103" t="s">
        <v>316</v>
      </c>
      <c r="CGE1" s="103" t="s">
        <v>376</v>
      </c>
      <c r="CGF1" s="103" t="s">
        <v>377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427</v>
      </c>
      <c r="B2" s="106">
        <v>3</v>
      </c>
      <c r="C2" s="106">
        <v>1</v>
      </c>
      <c r="D2" s="106">
        <v>1</v>
      </c>
      <c r="E2" s="106">
        <v>24</v>
      </c>
      <c r="F2" s="106" t="s">
        <v>424</v>
      </c>
      <c r="GY2" s="95" t="s">
        <v>428</v>
      </c>
      <c r="GZ2" s="108">
        <v>0.26700000000000002</v>
      </c>
      <c r="HA2" s="108">
        <v>0.26900000000000002</v>
      </c>
      <c r="HB2" s="108">
        <v>0.22800000000000001</v>
      </c>
      <c r="HC2" s="108">
        <v>0.25800000000000001</v>
      </c>
      <c r="HD2" s="108">
        <v>0.25700000000000001</v>
      </c>
      <c r="HE2" s="108">
        <v>0.23799999999999999</v>
      </c>
      <c r="HF2" s="108">
        <v>0.249</v>
      </c>
      <c r="HG2" s="108">
        <v>0.249</v>
      </c>
      <c r="HH2" s="108">
        <v>0.20699999999999999</v>
      </c>
      <c r="HI2" s="108">
        <v>0.23699999999999999</v>
      </c>
      <c r="HJ2" s="108">
        <v>0.22500000000000001</v>
      </c>
      <c r="HK2" s="108">
        <v>0.19800000000000001</v>
      </c>
      <c r="HL2" s="108">
        <v>0.16</v>
      </c>
      <c r="HM2" s="108">
        <v>0.222</v>
      </c>
      <c r="HN2" s="108">
        <v>0.187</v>
      </c>
      <c r="HO2" s="108">
        <v>0.22</v>
      </c>
      <c r="HP2" s="108">
        <v>0.214</v>
      </c>
      <c r="HQ2" s="108">
        <v>0.17699999999999999</v>
      </c>
      <c r="HR2" s="108">
        <v>0.2</v>
      </c>
      <c r="HS2" s="108">
        <v>0.2</v>
      </c>
      <c r="HT2" s="108">
        <v>0.13</v>
      </c>
      <c r="HU2" s="108">
        <v>0.189</v>
      </c>
      <c r="HV2" s="108">
        <v>0.183</v>
      </c>
      <c r="HW2" s="108">
        <v>0.152</v>
      </c>
      <c r="HX2" s="108">
        <v>0.17799999999999999</v>
      </c>
      <c r="HY2" s="108">
        <v>0.17699999999999999</v>
      </c>
      <c r="HZ2" s="108">
        <v>0.14299999999999999</v>
      </c>
      <c r="IA2" s="108">
        <v>0.16700000000000001</v>
      </c>
      <c r="IB2" s="108">
        <v>0.16300000000000001</v>
      </c>
      <c r="IC2" s="108">
        <v>9.0999999999999998E-2</v>
      </c>
      <c r="ID2" s="108">
        <v>8.5999999999999993E-2</v>
      </c>
      <c r="IE2" s="108">
        <v>0.14799999999999999</v>
      </c>
      <c r="IF2" s="108">
        <v>0.115</v>
      </c>
      <c r="IG2" s="108">
        <v>0.14299999999999999</v>
      </c>
      <c r="IH2" s="108">
        <v>0.13900000000000001</v>
      </c>
      <c r="II2" s="108">
        <v>0.104</v>
      </c>
      <c r="IJ2" s="108">
        <v>0.27100000000000002</v>
      </c>
      <c r="IK2" s="108">
        <v>0.25800000000000001</v>
      </c>
      <c r="IL2" s="108">
        <v>0.223</v>
      </c>
      <c r="IM2" s="108">
        <v>0.26</v>
      </c>
      <c r="IN2" s="108">
        <v>0.252</v>
      </c>
      <c r="IO2" s="108">
        <v>0.215</v>
      </c>
      <c r="IP2" s="108">
        <v>0.252</v>
      </c>
      <c r="IQ2" s="108">
        <v>0.247</v>
      </c>
      <c r="IR2" s="108">
        <v>0.20899999999999999</v>
      </c>
      <c r="IS2" s="108">
        <v>0.24299999999999999</v>
      </c>
      <c r="IT2" s="108">
        <v>0.23599999999999999</v>
      </c>
      <c r="IU2" s="108">
        <v>0.2</v>
      </c>
      <c r="IV2" s="108">
        <v>0.23599999999999999</v>
      </c>
      <c r="IW2" s="108">
        <v>0.23100000000000001</v>
      </c>
      <c r="IX2" s="108">
        <v>0.19500000000000001</v>
      </c>
      <c r="IY2" s="108">
        <v>0.22800000000000001</v>
      </c>
      <c r="IZ2" s="108">
        <v>0.23400000000000001</v>
      </c>
      <c r="JA2" s="108">
        <v>0.19700000000000001</v>
      </c>
      <c r="JB2" s="108">
        <v>0.224</v>
      </c>
      <c r="JC2" s="108">
        <v>0.22600000000000001</v>
      </c>
      <c r="JD2" s="108">
        <v>0.188</v>
      </c>
      <c r="JE2" s="108">
        <v>0.218</v>
      </c>
      <c r="JF2" s="108">
        <v>0.218</v>
      </c>
      <c r="JG2" s="108">
        <v>0.18099999999999999</v>
      </c>
      <c r="JH2" s="108">
        <v>0.21099999999999999</v>
      </c>
      <c r="JI2" s="108">
        <v>0.21199999999999999</v>
      </c>
      <c r="JJ2" s="108">
        <v>0.17199999999999999</v>
      </c>
      <c r="JK2" s="108">
        <v>0.21099999999999999</v>
      </c>
      <c r="JL2" s="108">
        <v>0.20599999999999999</v>
      </c>
      <c r="JM2" s="108">
        <v>0.155</v>
      </c>
      <c r="JN2" s="108">
        <v>0.193</v>
      </c>
      <c r="JO2" s="108">
        <v>0.19900000000000001</v>
      </c>
      <c r="JP2" s="108">
        <v>0.16</v>
      </c>
      <c r="JQ2" s="108">
        <v>0.193</v>
      </c>
      <c r="JR2" s="108">
        <v>0.184</v>
      </c>
      <c r="JS2" s="108">
        <v>0.14399999999999999</v>
      </c>
      <c r="BXV2" s="109">
        <v>1</v>
      </c>
      <c r="BXW2" s="108" t="s">
        <v>404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427</v>
      </c>
      <c r="CAE2" s="108">
        <v>1</v>
      </c>
      <c r="CAF2" s="108">
        <v>1</v>
      </c>
      <c r="CAG2" s="108" t="s">
        <v>144</v>
      </c>
      <c r="CAH2" s="108" t="s">
        <v>495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426</v>
      </c>
      <c r="B3" s="106">
        <v>2</v>
      </c>
      <c r="C3" s="106">
        <v>1</v>
      </c>
      <c r="D3" s="106">
        <v>1</v>
      </c>
      <c r="E3" s="106">
        <v>14</v>
      </c>
      <c r="F3" s="106" t="s">
        <v>424</v>
      </c>
      <c r="GY3" s="97" t="s">
        <v>494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404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491</v>
      </c>
      <c r="B4" s="106">
        <v>10</v>
      </c>
      <c r="C4" s="106">
        <v>3</v>
      </c>
      <c r="D4" s="106">
        <v>10</v>
      </c>
      <c r="E4" s="106">
        <v>4</v>
      </c>
      <c r="F4" s="106" t="s">
        <v>424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423</v>
      </c>
      <c r="B5" s="106">
        <v>4</v>
      </c>
      <c r="C5" s="106">
        <v>1</v>
      </c>
      <c r="D5" s="106">
        <v>1</v>
      </c>
      <c r="E5" s="106">
        <v>16</v>
      </c>
      <c r="F5" s="106" t="s">
        <v>424</v>
      </c>
      <c r="G5" s="106"/>
      <c r="GY5" s="95" t="s">
        <v>425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404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429</v>
      </c>
      <c r="B6" s="106">
        <v>2</v>
      </c>
      <c r="C6" s="106">
        <v>2</v>
      </c>
      <c r="D6" s="106">
        <v>1</v>
      </c>
      <c r="E6" s="106">
        <v>12</v>
      </c>
      <c r="F6" s="106" t="s">
        <v>424</v>
      </c>
      <c r="GY6" s="95" t="s">
        <v>430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404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431</v>
      </c>
      <c r="B7" s="106">
        <v>4</v>
      </c>
      <c r="C7" s="106">
        <v>1</v>
      </c>
      <c r="D7" s="106">
        <v>1</v>
      </c>
      <c r="E7" s="106">
        <v>10</v>
      </c>
      <c r="F7" s="106" t="s">
        <v>424</v>
      </c>
      <c r="GY7" s="95" t="s">
        <v>430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404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432</v>
      </c>
      <c r="B8" s="106">
        <v>4</v>
      </c>
      <c r="C8" s="106">
        <v>1</v>
      </c>
      <c r="D8" s="106">
        <v>1</v>
      </c>
      <c r="E8" s="106">
        <v>20</v>
      </c>
      <c r="F8" s="106" t="s">
        <v>424</v>
      </c>
      <c r="GY8" s="95" t="s">
        <v>433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404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434</v>
      </c>
      <c r="B9" s="106">
        <v>2</v>
      </c>
      <c r="C9" s="106">
        <v>2</v>
      </c>
      <c r="D9" s="106">
        <v>2</v>
      </c>
      <c r="E9" s="106">
        <v>24</v>
      </c>
      <c r="F9" s="106" t="s">
        <v>424</v>
      </c>
      <c r="GY9" s="95" t="s">
        <v>435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404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436</v>
      </c>
      <c r="B10" s="106">
        <v>4</v>
      </c>
      <c r="C10" s="106">
        <v>1</v>
      </c>
      <c r="D10" s="106">
        <v>1</v>
      </c>
      <c r="E10" s="106">
        <v>20</v>
      </c>
      <c r="F10" s="106" t="s">
        <v>424</v>
      </c>
      <c r="GY10" s="95" t="s">
        <v>437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404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438</v>
      </c>
      <c r="B11" s="106">
        <v>4</v>
      </c>
      <c r="C11" s="106">
        <v>1</v>
      </c>
      <c r="D11" s="106">
        <v>3</v>
      </c>
      <c r="E11" s="106">
        <v>10</v>
      </c>
      <c r="F11" s="106" t="s">
        <v>424</v>
      </c>
      <c r="GY11" s="95" t="s">
        <v>439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440</v>
      </c>
      <c r="B12" s="106">
        <v>2</v>
      </c>
      <c r="C12" s="106">
        <v>1</v>
      </c>
      <c r="D12" s="106">
        <v>4</v>
      </c>
      <c r="E12" s="106">
        <v>3</v>
      </c>
      <c r="F12" s="106" t="s">
        <v>424</v>
      </c>
      <c r="GY12" s="95" t="s">
        <v>441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442</v>
      </c>
      <c r="B13" s="106">
        <v>4</v>
      </c>
      <c r="C13" s="106">
        <v>1</v>
      </c>
      <c r="D13" s="106">
        <v>8</v>
      </c>
      <c r="E13" s="106">
        <v>1</v>
      </c>
      <c r="F13" s="106" t="s">
        <v>424</v>
      </c>
      <c r="GY13" s="95" t="s">
        <v>443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444</v>
      </c>
      <c r="B14" s="106">
        <v>4</v>
      </c>
      <c r="C14" s="106">
        <v>1</v>
      </c>
      <c r="D14" s="106">
        <v>2</v>
      </c>
      <c r="E14" s="106">
        <v>9</v>
      </c>
      <c r="F14" s="106" t="s">
        <v>424</v>
      </c>
      <c r="GY14" s="95" t="s">
        <v>445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446</v>
      </c>
      <c r="B15" s="106">
        <v>4</v>
      </c>
      <c r="C15" s="106">
        <v>1</v>
      </c>
      <c r="D15" s="106">
        <v>2</v>
      </c>
      <c r="E15" s="106">
        <v>10</v>
      </c>
      <c r="F15" s="106" t="s">
        <v>447</v>
      </c>
      <c r="GY15" s="95" t="s">
        <v>448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391</v>
      </c>
      <c r="B16" s="106">
        <v>20</v>
      </c>
      <c r="C16" s="106">
        <v>1</v>
      </c>
      <c r="D16" s="106">
        <v>3</v>
      </c>
      <c r="E16" s="106">
        <v>10</v>
      </c>
      <c r="F16" s="106" t="s">
        <v>447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449</v>
      </c>
      <c r="B17" s="106">
        <v>4</v>
      </c>
      <c r="C17" s="106">
        <v>1</v>
      </c>
      <c r="D17" s="106">
        <v>6</v>
      </c>
      <c r="E17" s="106">
        <v>4</v>
      </c>
      <c r="F17" s="106" t="s">
        <v>447</v>
      </c>
      <c r="GY17" s="95" t="s">
        <v>405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450</v>
      </c>
      <c r="B18" s="106">
        <v>8</v>
      </c>
      <c r="C18" s="106">
        <v>1</v>
      </c>
      <c r="D18" s="106">
        <v>2</v>
      </c>
      <c r="E18" s="106">
        <v>5</v>
      </c>
      <c r="F18" s="106" t="s">
        <v>447</v>
      </c>
      <c r="GY18" s="95" t="s">
        <v>406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394</v>
      </c>
      <c r="B19" s="106">
        <v>17</v>
      </c>
      <c r="C19" s="106">
        <v>1</v>
      </c>
      <c r="D19" s="106">
        <v>2</v>
      </c>
      <c r="E19" s="106">
        <v>9</v>
      </c>
      <c r="F19" s="106" t="s">
        <v>424</v>
      </c>
      <c r="GY19" s="95" t="s">
        <v>405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451</v>
      </c>
      <c r="B20" s="106">
        <v>17</v>
      </c>
      <c r="C20" s="106">
        <v>1</v>
      </c>
      <c r="D20" s="106">
        <v>1</v>
      </c>
      <c r="E20" s="106">
        <v>10</v>
      </c>
      <c r="F20" s="106" t="s">
        <v>424</v>
      </c>
      <c r="GY20" s="95" t="s">
        <v>452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453</v>
      </c>
      <c r="B21" s="106">
        <v>3</v>
      </c>
      <c r="C21" s="106">
        <v>1</v>
      </c>
      <c r="D21" s="106">
        <v>1</v>
      </c>
      <c r="E21" s="106">
        <v>10</v>
      </c>
      <c r="F21" s="106" t="s">
        <v>424</v>
      </c>
      <c r="GY21" s="95" t="s">
        <v>452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454</v>
      </c>
      <c r="B22" s="106">
        <v>2</v>
      </c>
      <c r="C22" s="106">
        <v>1</v>
      </c>
      <c r="D22" s="106">
        <v>4</v>
      </c>
      <c r="E22" s="106">
        <v>12</v>
      </c>
      <c r="F22" s="106" t="s">
        <v>424</v>
      </c>
      <c r="GY22" s="95" t="s">
        <v>455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456</v>
      </c>
      <c r="B23" s="106">
        <v>7</v>
      </c>
      <c r="C23" s="106">
        <v>1</v>
      </c>
      <c r="D23" s="106">
        <v>4</v>
      </c>
      <c r="E23" s="106">
        <v>12</v>
      </c>
      <c r="F23" s="106" t="s">
        <v>424</v>
      </c>
      <c r="GY23" s="95" t="s">
        <v>457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458</v>
      </c>
      <c r="B24" s="106">
        <v>1</v>
      </c>
      <c r="C24" s="106">
        <v>2</v>
      </c>
      <c r="D24" s="106">
        <v>9</v>
      </c>
      <c r="E24" s="106">
        <v>4</v>
      </c>
      <c r="F24" s="106" t="s">
        <v>447</v>
      </c>
      <c r="GY24" s="95" t="s">
        <v>459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460</v>
      </c>
      <c r="B25" s="106">
        <v>2</v>
      </c>
      <c r="C25" s="106">
        <v>2</v>
      </c>
      <c r="D25" s="106">
        <v>5</v>
      </c>
      <c r="E25" s="106">
        <v>2</v>
      </c>
      <c r="F25" s="106" t="s">
        <v>447</v>
      </c>
      <c r="GY25" s="95" t="s">
        <v>459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461</v>
      </c>
      <c r="B26" s="106">
        <v>2</v>
      </c>
      <c r="C26" s="106">
        <v>1</v>
      </c>
      <c r="D26" s="106">
        <v>10</v>
      </c>
      <c r="E26" s="106">
        <v>12</v>
      </c>
      <c r="F26" s="106" t="s">
        <v>424</v>
      </c>
      <c r="GY26" s="95" t="s">
        <v>462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HG1" zoomScale="70" zoomScaleNormal="70" workbookViewId="0">
      <selection activeCell="HW2" sqref="HW2:IH2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407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408</v>
      </c>
      <c r="ABE1" s="102" t="s">
        <v>419</v>
      </c>
      <c r="ABF1" s="102" t="s">
        <v>409</v>
      </c>
      <c r="ABG1" s="102" t="s">
        <v>410</v>
      </c>
      <c r="ABH1" s="102" t="s">
        <v>411</v>
      </c>
      <c r="ABI1" s="102" t="s">
        <v>412</v>
      </c>
      <c r="ABJ1" s="102" t="s">
        <v>413</v>
      </c>
      <c r="ABK1" s="102" t="s">
        <v>414</v>
      </c>
      <c r="ABL1" s="102" t="s">
        <v>415</v>
      </c>
      <c r="ABM1" s="102" t="s">
        <v>416</v>
      </c>
      <c r="ABN1" s="102" t="s">
        <v>417</v>
      </c>
      <c r="ABO1" s="102" t="s">
        <v>418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401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381</v>
      </c>
      <c r="AG2" s="98" t="s">
        <v>402</v>
      </c>
      <c r="AH2" s="98" t="s">
        <v>403</v>
      </c>
      <c r="AI2" s="98" t="s">
        <v>383</v>
      </c>
      <c r="AJ2" s="98" t="s">
        <v>385</v>
      </c>
      <c r="AK2" s="98" t="s">
        <v>384</v>
      </c>
      <c r="AL2" s="98" t="s">
        <v>386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495</v>
      </c>
      <c r="BI2" s="101">
        <v>0.85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213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496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463</v>
      </c>
      <c r="B3" s="98" t="s">
        <v>380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383</v>
      </c>
      <c r="AG3" s="98" t="s">
        <v>384</v>
      </c>
      <c r="AH3" s="98" t="s">
        <v>386</v>
      </c>
      <c r="AI3" s="98" t="s">
        <v>385</v>
      </c>
      <c r="AJ3" s="98" t="s">
        <v>381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498</v>
      </c>
      <c r="XFB3" s="105" t="s">
        <v>158</v>
      </c>
    </row>
    <row r="4" spans="1:743 16382:16384">
      <c r="A4" s="98" t="s">
        <v>464</v>
      </c>
      <c r="B4" s="98" t="s">
        <v>380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389</v>
      </c>
      <c r="AG4" s="98" t="s">
        <v>383</v>
      </c>
      <c r="AH4" s="98" t="s">
        <v>385</v>
      </c>
      <c r="AI4" s="98" t="s">
        <v>384</v>
      </c>
      <c r="AJ4" s="98" t="s">
        <v>386</v>
      </c>
      <c r="AK4" s="98" t="s">
        <v>390</v>
      </c>
      <c r="AL4" s="98" t="s">
        <v>465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422</v>
      </c>
      <c r="B5" s="98" t="s">
        <v>401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392</v>
      </c>
      <c r="AG5" s="98" t="s">
        <v>393</v>
      </c>
      <c r="AH5" s="98" t="s">
        <v>381</v>
      </c>
      <c r="AI5" s="98" t="s">
        <v>421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466</v>
      </c>
      <c r="B6" s="98" t="s">
        <v>380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381</v>
      </c>
      <c r="AG6" s="98" t="s">
        <v>383</v>
      </c>
      <c r="AH6" s="98" t="s">
        <v>385</v>
      </c>
      <c r="AI6" s="98" t="s">
        <v>392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467</v>
      </c>
      <c r="B7" s="98" t="s">
        <v>380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381</v>
      </c>
      <c r="AG7" s="98" t="s">
        <v>385</v>
      </c>
      <c r="AH7" s="98" t="s">
        <v>386</v>
      </c>
      <c r="AI7" s="98" t="s">
        <v>384</v>
      </c>
      <c r="AJ7" s="98" t="s">
        <v>383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468</v>
      </c>
      <c r="B8" s="98" t="s">
        <v>380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381</v>
      </c>
      <c r="AG8" s="98" t="s">
        <v>385</v>
      </c>
      <c r="AH8" s="98" t="s">
        <v>383</v>
      </c>
      <c r="AI8" s="98" t="s">
        <v>384</v>
      </c>
      <c r="AJ8" s="98" t="s">
        <v>386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469</v>
      </c>
      <c r="B9" s="98" t="s">
        <v>380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381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470</v>
      </c>
      <c r="B10" s="98" t="s">
        <v>380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381</v>
      </c>
      <c r="AG10" s="98" t="s">
        <v>393</v>
      </c>
      <c r="AH10" s="98" t="s">
        <v>384</v>
      </c>
      <c r="AI10" s="98" t="s">
        <v>386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471</v>
      </c>
      <c r="B11" s="98" t="s">
        <v>380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381</v>
      </c>
      <c r="AG11" s="98" t="s">
        <v>392</v>
      </c>
      <c r="AH11" s="98" t="s">
        <v>393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472</v>
      </c>
      <c r="B12" s="98" t="s">
        <v>380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381</v>
      </c>
      <c r="AG12" s="98" t="s">
        <v>392</v>
      </c>
      <c r="AH12" s="98" t="s">
        <v>393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473</v>
      </c>
      <c r="B13" s="98" t="s">
        <v>380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381</v>
      </c>
      <c r="AG13" s="98" t="s">
        <v>383</v>
      </c>
      <c r="AH13" s="98" t="s">
        <v>384</v>
      </c>
      <c r="AI13" s="98" t="s">
        <v>386</v>
      </c>
      <c r="AJ13" s="98" t="s">
        <v>385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214</v>
      </c>
      <c r="BN13" s="98" t="s">
        <v>215</v>
      </c>
      <c r="BO13" s="94" t="s">
        <v>191</v>
      </c>
    </row>
    <row r="14" spans="1:743 16382:16384">
      <c r="A14" s="98" t="s">
        <v>379</v>
      </c>
      <c r="B14" s="98" t="s">
        <v>380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381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</row>
    <row r="15" spans="1:743 16382:16384">
      <c r="A15" s="98" t="s">
        <v>382</v>
      </c>
      <c r="B15" s="98" t="s">
        <v>380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383</v>
      </c>
      <c r="AG15" s="98" t="s">
        <v>384</v>
      </c>
      <c r="AH15" s="98" t="s">
        <v>385</v>
      </c>
      <c r="AI15" s="98" t="s">
        <v>386</v>
      </c>
      <c r="AJ15" s="98" t="s">
        <v>381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387</v>
      </c>
      <c r="B16" s="98" t="s">
        <v>380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381</v>
      </c>
      <c r="AG16" s="98" t="s">
        <v>384</v>
      </c>
      <c r="AH16" s="98" t="s">
        <v>386</v>
      </c>
      <c r="AI16" s="98" t="s">
        <v>383</v>
      </c>
      <c r="AJ16" s="98" t="s">
        <v>385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388</v>
      </c>
      <c r="B17" s="98" t="s">
        <v>380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389</v>
      </c>
      <c r="AG17" s="98" t="s">
        <v>390</v>
      </c>
      <c r="AH17" s="98" t="s">
        <v>384</v>
      </c>
      <c r="AI17" s="98" t="s">
        <v>386</v>
      </c>
      <c r="AJ17" s="98" t="s">
        <v>383</v>
      </c>
      <c r="AK17" s="98" t="s">
        <v>385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395</v>
      </c>
      <c r="B18" s="98" t="s">
        <v>380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392</v>
      </c>
      <c r="AG18" s="98" t="s">
        <v>393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396</v>
      </c>
      <c r="B19" s="98" t="s">
        <v>380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397</v>
      </c>
      <c r="AG19" s="98" t="s">
        <v>398</v>
      </c>
      <c r="AH19" s="98" t="s">
        <v>397</v>
      </c>
      <c r="AI19" s="98" t="s">
        <v>399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400</v>
      </c>
      <c r="B20" s="98" t="s">
        <v>380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381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474</v>
      </c>
      <c r="B21" s="98" t="s">
        <v>380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389</v>
      </c>
      <c r="AG21" s="98" t="s">
        <v>383</v>
      </c>
      <c r="AH21" s="98" t="s">
        <v>385</v>
      </c>
      <c r="AI21" s="98" t="s">
        <v>384</v>
      </c>
      <c r="AJ21" s="98" t="s">
        <v>386</v>
      </c>
      <c r="AK21" s="98" t="s">
        <v>390</v>
      </c>
      <c r="AL21" s="98" t="s">
        <v>465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475</v>
      </c>
      <c r="B22" s="98" t="s">
        <v>380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381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476</v>
      </c>
      <c r="B23" s="98" t="s">
        <v>380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381</v>
      </c>
      <c r="AG23" s="98" t="s">
        <v>384</v>
      </c>
      <c r="AH23" s="98" t="s">
        <v>386</v>
      </c>
      <c r="AI23" s="98" t="s">
        <v>383</v>
      </c>
      <c r="AJ23" s="98" t="s">
        <v>385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477</v>
      </c>
      <c r="B24" s="98" t="s">
        <v>380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381</v>
      </c>
      <c r="AG24" s="98" t="s">
        <v>392</v>
      </c>
      <c r="AH24" s="98" t="s">
        <v>393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478</v>
      </c>
      <c r="B25" s="98" t="s">
        <v>380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393</v>
      </c>
      <c r="AG25" s="98" t="s">
        <v>386</v>
      </c>
      <c r="AH25" s="98" t="s">
        <v>384</v>
      </c>
      <c r="AI25" s="98" t="s">
        <v>381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479</v>
      </c>
      <c r="B26" s="98" t="s">
        <v>380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390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480</v>
      </c>
      <c r="B27" s="98" t="s">
        <v>380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381</v>
      </c>
      <c r="AG27" s="98" t="s">
        <v>383</v>
      </c>
      <c r="AH27" s="98" t="s">
        <v>384</v>
      </c>
      <c r="AI27" s="98" t="s">
        <v>386</v>
      </c>
      <c r="AJ27" s="98" t="s">
        <v>385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481</v>
      </c>
      <c r="B28" s="98" t="s">
        <v>380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386</v>
      </c>
      <c r="AG28" s="98" t="s">
        <v>385</v>
      </c>
      <c r="AH28" s="98" t="s">
        <v>390</v>
      </c>
      <c r="AI28" s="98" t="s">
        <v>384</v>
      </c>
      <c r="AJ28" s="98" t="s">
        <v>383</v>
      </c>
      <c r="AK28" s="98" t="s">
        <v>389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482</v>
      </c>
      <c r="B29" s="98" t="s">
        <v>380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390</v>
      </c>
      <c r="AG29" s="98" t="s">
        <v>385</v>
      </c>
      <c r="AH29" s="98" t="s">
        <v>386</v>
      </c>
      <c r="AI29" s="98" t="s">
        <v>384</v>
      </c>
      <c r="AJ29" s="98" t="s">
        <v>383</v>
      </c>
      <c r="AK29" s="98" t="s">
        <v>389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483</v>
      </c>
      <c r="B30" s="98" t="s">
        <v>380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381</v>
      </c>
      <c r="AG30" s="98" t="s">
        <v>386</v>
      </c>
      <c r="AH30" s="98" t="s">
        <v>384</v>
      </c>
      <c r="AI30" s="98" t="s">
        <v>385</v>
      </c>
      <c r="AJ30" s="98" t="s">
        <v>383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484</v>
      </c>
      <c r="B31" s="98" t="s">
        <v>380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381</v>
      </c>
      <c r="AG31" s="98" t="s">
        <v>384</v>
      </c>
      <c r="AH31" s="98" t="s">
        <v>386</v>
      </c>
      <c r="AI31" s="98" t="s">
        <v>383</v>
      </c>
      <c r="AJ31" s="98" t="s">
        <v>385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485</v>
      </c>
      <c r="B32" s="98" t="s">
        <v>380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398</v>
      </c>
      <c r="AG32" s="98" t="s">
        <v>399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486</v>
      </c>
      <c r="B33" s="98" t="s">
        <v>380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381</v>
      </c>
      <c r="AG33" s="98" t="s">
        <v>383</v>
      </c>
      <c r="AH33" s="98" t="s">
        <v>385</v>
      </c>
      <c r="AI33" s="98" t="s">
        <v>384</v>
      </c>
      <c r="AJ33" s="98" t="s">
        <v>386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487</v>
      </c>
      <c r="B34" s="98" t="s">
        <v>380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384</v>
      </c>
      <c r="AG34" s="98" t="s">
        <v>386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488</v>
      </c>
      <c r="B35" s="98" t="s">
        <v>380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381</v>
      </c>
      <c r="AG35" s="98" t="s">
        <v>385</v>
      </c>
      <c r="AH35" s="98" t="s">
        <v>386</v>
      </c>
      <c r="AI35" s="98" t="s">
        <v>384</v>
      </c>
      <c r="AJ35" s="98" t="s">
        <v>383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489</v>
      </c>
      <c r="B36" s="98" t="s">
        <v>380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381</v>
      </c>
      <c r="AG36" s="98" t="s">
        <v>393</v>
      </c>
      <c r="AH36" s="98" t="s">
        <v>384</v>
      </c>
      <c r="AI36" s="98" t="s">
        <v>386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38" t="s">
        <v>492</v>
      </c>
      <c r="C2" s="138"/>
      <c r="D2" s="126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38"/>
      <c r="C3" s="138"/>
      <c r="D3" s="126"/>
      <c r="E3" s="76"/>
      <c r="F3" s="76"/>
      <c r="G3" s="76"/>
    </row>
    <row r="4" spans="2:7" ht="28.5" customHeight="1">
      <c r="B4" s="138"/>
      <c r="C4" s="138"/>
      <c r="D4" s="126"/>
      <c r="E4" s="79"/>
      <c r="F4" s="79"/>
      <c r="G4" s="79"/>
    </row>
    <row r="5" spans="2:7" ht="28.5" customHeight="1">
      <c r="B5" s="138" t="s">
        <v>0</v>
      </c>
      <c r="C5" s="138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39" t="s">
        <v>216</v>
      </c>
      <c r="C6" s="140"/>
      <c r="D6" s="78"/>
      <c r="E6" s="78"/>
      <c r="F6" s="78"/>
      <c r="G6" s="78"/>
    </row>
    <row r="7" spans="2:7" ht="28.5" customHeight="1">
      <c r="B7" s="136" t="s">
        <v>217</v>
      </c>
      <c r="C7" s="137"/>
      <c r="D7" s="85" t="s">
        <v>219</v>
      </c>
      <c r="E7" s="85" t="s">
        <v>218</v>
      </c>
      <c r="F7" s="131" t="s">
        <v>220</v>
      </c>
      <c r="G7" s="123" t="s">
        <v>225</v>
      </c>
    </row>
    <row r="8" spans="2:7" ht="21" customHeight="1">
      <c r="B8" s="141" t="s">
        <v>317</v>
      </c>
      <c r="C8" s="142"/>
      <c r="D8" s="90"/>
      <c r="E8" s="90"/>
      <c r="F8" s="131"/>
      <c r="G8" s="124"/>
    </row>
    <row r="9" spans="2:7" ht="21" customHeight="1">
      <c r="B9" s="132" t="s">
        <v>11</v>
      </c>
      <c r="C9" s="133"/>
      <c r="D9" s="83"/>
      <c r="E9" s="83"/>
      <c r="F9" s="131"/>
      <c r="G9" s="124"/>
    </row>
    <row r="10" spans="2:7" ht="21" customHeight="1">
      <c r="B10" s="132" t="s">
        <v>12</v>
      </c>
      <c r="C10" s="133"/>
      <c r="D10" s="84"/>
      <c r="E10" s="84"/>
      <c r="F10" s="131"/>
      <c r="G10" s="124"/>
    </row>
    <row r="11" spans="2:7" ht="21" customHeight="1">
      <c r="B11" s="134" t="s">
        <v>1</v>
      </c>
      <c r="C11" s="135"/>
      <c r="D11" s="82">
        <f>MAX(D19:D20)</f>
        <v>0</v>
      </c>
      <c r="E11" s="82">
        <f>MAX(E19:E20)</f>
        <v>0</v>
      </c>
      <c r="F11" s="131"/>
      <c r="G11" s="124"/>
    </row>
    <row r="12" spans="2:7" ht="21" customHeight="1">
      <c r="B12" s="134" t="s">
        <v>2</v>
      </c>
      <c r="C12" s="135"/>
      <c r="D12" s="82">
        <f>MIN(D19:D20)</f>
        <v>0</v>
      </c>
      <c r="E12" s="82">
        <f>MIN(E19:E20)</f>
        <v>0</v>
      </c>
      <c r="F12" s="131"/>
      <c r="G12" s="124"/>
    </row>
    <row r="13" spans="2:7" ht="21" customHeight="1">
      <c r="B13" s="134" t="s">
        <v>3</v>
      </c>
      <c r="C13" s="135"/>
      <c r="D13" s="82" t="e">
        <f>AVERAGEA(D19:D20)</f>
        <v>#DIV/0!</v>
      </c>
      <c r="E13" s="82" t="e">
        <f>AVERAGEA(E19:E20)</f>
        <v>#DIV/0!</v>
      </c>
      <c r="F13" s="131"/>
      <c r="G13" s="124"/>
    </row>
    <row r="14" spans="2:7" s="73" customFormat="1" ht="21" customHeight="1">
      <c r="B14" s="127" t="s">
        <v>15</v>
      </c>
      <c r="C14" s="128"/>
      <c r="D14" s="74" t="e">
        <f>STDEV(D19:D20)</f>
        <v>#DIV/0!</v>
      </c>
      <c r="E14" s="74" t="e">
        <f>STDEV(E19:E20)</f>
        <v>#DIV/0!</v>
      </c>
      <c r="F14" s="131"/>
      <c r="G14" s="124"/>
    </row>
    <row r="15" spans="2:7" s="73" customFormat="1" ht="21" customHeight="1">
      <c r="B15" s="127" t="s">
        <v>16</v>
      </c>
      <c r="C15" s="128"/>
      <c r="D15" s="74" t="e">
        <f t="shared" ref="D15" si="0">(D9-D10)/(D14*6)</f>
        <v>#DIV/0!</v>
      </c>
      <c r="E15" s="74" t="e">
        <f t="shared" ref="E15" si="1">(E9-E10)/(E14*6)</f>
        <v>#DIV/0!</v>
      </c>
      <c r="F15" s="131"/>
      <c r="G15" s="124"/>
    </row>
    <row r="16" spans="2:7" s="73" customFormat="1" ht="21" customHeight="1">
      <c r="B16" s="127" t="s">
        <v>17</v>
      </c>
      <c r="C16" s="128"/>
      <c r="D16" s="74" t="e">
        <f>(D13-D10)/(D14*3)</f>
        <v>#DIV/0!</v>
      </c>
      <c r="E16" s="74" t="e">
        <f t="shared" ref="E16" si="2">(E13-E10)/(E14*3)</f>
        <v>#DIV/0!</v>
      </c>
      <c r="F16" s="131"/>
      <c r="G16" s="124"/>
    </row>
    <row r="17" spans="2:7" s="73" customFormat="1" ht="21" customHeight="1">
      <c r="B17" s="129" t="s">
        <v>18</v>
      </c>
      <c r="C17" s="130"/>
      <c r="D17" s="74" t="e">
        <f>(D9-D13)/(D14*3)</f>
        <v>#DIV/0!</v>
      </c>
      <c r="E17" s="74" t="e">
        <f t="shared" ref="E17" si="3">(E9-E13)/(E14*3)</f>
        <v>#DIV/0!</v>
      </c>
      <c r="F17" s="131"/>
      <c r="G17" s="124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1"/>
      <c r="G18" s="125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2025-07-10T11:20:28Z</dcterms:modified>
</cp:coreProperties>
</file>