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2" state="hidden" r:id="rId3"/>
    <sheet name="ListSetup" sheetId="171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2" i="2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<sst xmlns="http://schemas.openxmlformats.org/spreadsheetml/2006/main" count="788" uniqueCount="505">
  <si>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</si>
  <si>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</si>
  <si>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</si>
  <si>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</si>
  <si>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</si>
  <si>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</si>
  <si>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</si>
  <si>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</si>
  <si>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</si>
  <si>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</si>
  <si>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</si>
  <si>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</si>
  <si>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</si>
  <si>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</si>
  <si>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</si>
  <si>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</si>
  <si>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</si>
  <si>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</si>
  <si>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</si>
  <si>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</si>
  <si>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</si>
  <si>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</si>
  <si>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</si>
  <si>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</si>
  <si>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</si>
  <si>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</si>
  <si>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</si>
  <si>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</si>
  <si>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</si>
  <si>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</si>
  <si>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</si>
  <si>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</si>
  <si>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</si>
  <si>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</si>
  <si>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</si>
  <si>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</si>
  <si>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</si>
  <si>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</si>
  <si>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</si>
  <si>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</si>
  <si>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</si>
  <si>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</si>
  <si>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</si>
  <si>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</si>
  <si>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</si>
  <si>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</si>
  <si>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</si>
  <si>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</si>
  <si>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</si>
  <si>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</si>
  <si>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</si>
  <si>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</si>
  <si>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</si>
  <si>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</si>
  <si>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</si>
  <si>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</si>
  <si>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</si>
  <si>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</si>
  <si>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</si>
  <si>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</si>
  <si>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</si>
  <si>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</si>
  <si>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</si>
  <si>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</si>
  <si>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</si>
  <si>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</si>
  <si>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</si>
  <si>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</si>
  <si>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</si>
  <si>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</si>
  <si>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</si>
  <si>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</si>
  <si>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</si>
  <si>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</si>
  <si>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</si>
  <si>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</si>
  <si>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</si>
  <si>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</si>
  <si>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</si>
  <si>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</si>
  <si>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</si>
  <si>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</si>
  <si>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</si>
  <si>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</si>
  <si>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</si>
  <si>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</si>
  <si>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</si>
  <si>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</si>
  <si>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</si>
  <si>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</si>
  <si>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</si>
  <si>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</si>
  <si>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</si>
  <si>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</si>
  <si>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</si>
  <si>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</si>
  <si>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</si>
  <si>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</si>
  <si>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</si>
  <si>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</si>
  <si>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</si>
  <si>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</si>
  <si>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</si>
  <si>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</si>
  <si>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</si>
  <si>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</si>
  <si>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</si>
  <si>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</si>
  <si>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</si>
  <si>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</si>
  <si>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</si>
  <si>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</si>
  <si>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</si>
  <si>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</si>
  <si>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</si>
  <si>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</si>
  <si>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</si>
  <si>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</si>
  <si>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</si>
  <si>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</si>
  <si>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</si>
  <si>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</si>
  <si>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</si>
  <si>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</si>
  <si>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</si>
  <si>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</si>
  <si>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</si>
  <si>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</si>
  <si>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</si>
  <si>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</si>
  <si>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</si>
  <si>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</si>
  <si>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</si>
  <si>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</si>
  <si>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</si>
  <si>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</si>
  <si>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</si>
  <si>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</si>
  <si>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</si>
  <si>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</si>
  <si>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</si>
  <si>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</si>
  <si>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</si>
  <si>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</si>
  <si>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</si>
  <si>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</si>
  <si>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</si>
  <si>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</si>
  <si>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</si>
  <si>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</si>
  <si>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</si>
  <si>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</si>
  <si>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</si>
  <si>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</si>
  <si>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</si>
  <si>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</si>
  <si>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</si>
  <si>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</si>
  <si>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</si>
  <si>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</si>
  <si>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</si>
  <si>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</si>
  <si>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</si>
  <si>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</si>
  <si>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</si>
  <si>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</si>
  <si>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</si>
  <si>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</si>
  <si>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</si>
  <si>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</si>
  <si>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</si>
  <si>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</si>
  <si>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</si>
  <si>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</si>
  <si>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</si>
  <si>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</si>
  <si>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</si>
  <si>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</si>
  <si>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</si>
  <si>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</si>
  <si>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</si>
  <si>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</si>
  <si>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</si>
  <si>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</si>
  <si>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</si>
  <si>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</si>
  <si>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</si>
  <si>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</si>
  <si>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</si>
  <si>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</si>
  <si>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</si>
  <si>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</si>
  <si>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</si>
  <si>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</si>
  <si>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</si>
  <si>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</si>
  <si>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</si>
  <si>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</si>
  <si>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</si>
  <si>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</si>
  <si>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</si>
  <si>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</si>
  <si>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</si>
  <si>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</si>
  <si>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</si>
  <si>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</si>
  <si>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</si>
  <si>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</si>
  <si>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</si>
  <si>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</si>
  <si>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</si>
  <si>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</si>
  <si>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</si>
  <si>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</si>
  <si>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</si>
  <si>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</si>
  <si>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</si>
  <si>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</si>
  <si>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</si>
  <si>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</si>
  <si>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</si>
  <si>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</si>
  <si>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</si>
  <si>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</si>
  <si>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</si>
  <si>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</si>
  <si>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</si>
  <si>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</si>
  <si>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</si>
  <si>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</si>
  <si>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</si>
  <si>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</si>
  <si>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</si>
  <si>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</si>
  <si>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</si>
  <si>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</si>
  <si>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</si>
  <si>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</si>
  <si>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</si>
  <si>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</si>
  <si>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</si>
  <si>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</si>
  <si>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</si>
  <si>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</si>
  <si>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</si>
  <si>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</si>
  <si>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</si>
  <si>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</si>
  <si>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</si>
  <si>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</si>
  <si>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</si>
  <si>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</si>
  <si>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</si>
  <si>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</si>
  <si>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</si>
  <si>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</si>
  <si>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</si>
  <si>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</si>
  <si>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</si>
  <si>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</si>
  <si>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</si>
  <si>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</si>
  <si>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</si>
  <si>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</si>
  <si>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</si>
  <si>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</si>
  <si>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</si>
  <si>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</si>
  <si>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</si>
  <si>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</si>
  <si>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</si>
  <si>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</si>
  <si>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</si>
  <si>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</si>
  <si>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</si>
  <si>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</si>
  <si>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</si>
  <si>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</si>
  <si>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</si>
  <si>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</si>
  <si>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</si>
  <si>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</si>
  <si>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</si>
  <si>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</si>
  <si>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</si>
  <si>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</si>
  <si>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</si>
  <si>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</si>
  <si>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</si>
  <si>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</si>
  <si>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</si>
  <si>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</si>
  <si>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</si>
  <si>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</si>
  <si>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</si>
  <si>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</si>
  <si>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</si>
  <si>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</si>
  <si>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</si>
  <si>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</si>
  <si>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</si>
  <si>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</si>
  <si>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</si>
  <si>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</si>
  <si>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</si>
  <si>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</si>
  <si>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</si>
  <si>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</si>
  <si>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</si>
  <si>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</si>
  <si>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</si>
  <si>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</si>
  <si>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</si>
  <si>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</si>
  <si>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</si>
  <si>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</si>
  <si>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</si>
  <si>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</si>
  <si>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</si>
  <si>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</si>
  <si>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</si>
  <si>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</si>
  <si>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</si>
  <si>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</si>
  <si>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</si>
  <si>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</si>
  <si>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</si>
  <si>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</si>
  <si>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</si>
  <si>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</si>
  <si>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</si>
  <si>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</si>
  <si>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</si>
  <si>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</si>
  <si>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</si>
  <si>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</si>
  <si>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</si>
  <si>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</si>
  <si>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</si>
  <si>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</si>
  <si>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</si>
  <si>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</si>
  <si>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</si>
  <si>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</si>
  <si>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</si>
  <si>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</si>
  <si>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</si>
  <si>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</si>
  <si>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</si>
  <si>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</si>
  <si>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</si>
  <si>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</si>
  <si>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</si>
  <si>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</si>
  <si>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</si>
  <si>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</si>
  <si>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</si>
  <si>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</si>
  <si>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</si>
  <si>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</si>
  <si>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</si>
  <si>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</si>
  <si>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</si>
  <si>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</si>
  <si>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</si>
  <si>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</si>
  <si>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</si>
  <si>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</si>
  <si>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</si>
  <si>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</si>
  <si>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</si>
  <si>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</si>
  <si>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</si>
  <si>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</si>
  <si>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</si>
  <si>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</si>
  <si>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</si>
  <si>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</si>
  <si>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</si>
  <si>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</si>
  <si>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</si>
  <si>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</si>
  <si>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</si>
  <si>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</si>
  <si>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</si>
  <si>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</si>
  <si>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</si>
  <si>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</si>
  <si>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</si>
  <si>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</si>
  <si>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</si>
  <si>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</si>
  <si>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</si>
  <si>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</si>
  <si>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</si>
  <si>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</si>
  <si>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</si>
  <si>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</si>
  <si>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</si>
  <si>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</si>
  <si>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</si>
  <si>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</si>
  <si>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</si>
  <si>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</si>
  <si>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</si>
  <si>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</si>
  <si>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</si>
  <si>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</si>
  <si>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</si>
  <si>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</si>
  <si>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</si>
  <si>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</si>
  <si>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</si>
  <si>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</si>
  <si>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</si>
  <si>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</si>
  <si>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</si>
  <si>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</si>
  <si>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</si>
  <si>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</si>
  <si>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</si>
  <si>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</si>
  <si>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</si>
  <si>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</si>
  <si>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</si>
  <si>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</si>
  <si>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</si>
  <si>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</si>
  <si>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</si>
  <si>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</si>
  <si>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</si>
  <si>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</si>
  <si>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</si>
  <si>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</si>
  <si>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</si>
  <si>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</si>
  <si>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</si>
  <si>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</si>
  <si>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</si>
  <si>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</si>
  <si>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</si>
  <si>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</si>
  <si>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</si>
  <si>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</si>
  <si>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</si>
  <si>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</si>
  <si>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</si>
  <si>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</si>
  <si>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</si>
  <si>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</si>
  <si>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</si>
  <si>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</si>
  <si>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</si>
  <si>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</si>
  <si>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</si>
  <si>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</si>
  <si>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</si>
  <si>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</si>
  <si>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</si>
  <si>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</si>
  <si>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</si>
  <si>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</si>
  <si>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</si>
  <si>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</si>
  <si>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</si>
  <si>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</si>
  <si>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</si>
  <si>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</si>
  <si>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</si>
  <si>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</si>
  <si>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</si>
  <si>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</si>
  <si>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</si>
  <si>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</si>
  <si>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</si>
  <si>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</si>
  <si>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</si>
  <si>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</si>
  <si>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</si>
  <si>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</si>
  <si>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</si>
  <si>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</si>
  <si>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</si>
  <si>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</si>
  <si>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</si>
  <si>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</si>
  <si>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</si>
  <si>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</si>
  <si>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</si>
  <si>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Test</t>
  </si>
  <si>
    <t>Photon VINA CO.,LTD</t>
  </si>
  <si>
    <t xml:space="preserve">
Photon VINA CO.,LTD</t>
  </si>
  <si>
    <t xml:space="preserve"> 18-Jun-2025</t>
  </si>
  <si>
    <t>V</t>
  </si>
  <si>
    <t>Số PCB/1Sheet</t>
  </si>
  <si>
    <t xml:space="preserve"> 80 73 88 53 50 114 102 115</t>
  </si>
  <si>
    <t xml:space="preserve"> 85 70 84 85</t>
  </si>
  <si>
    <t xml:space="preserve"> 57 56 55 54 53 52 51 50</t>
  </si>
  <si>
    <t xml:space="preserve"> 20-Jul-2025</t>
  </si>
  <si>
    <t xml:space="preserve"> 10-Oct-2025</t>
  </si>
  <si>
    <t>VALUE</t>
  </si>
  <si>
    <t>2SHEETS AT THE SAME TIME</t>
  </si>
  <si>
    <t>COIL NEEDLE CHECK</t>
  </si>
  <si>
    <t>E</t>
  </si>
  <si>
    <t xml:space="preserve"> 10-Oct-2025 07 18 40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</si>
</sst>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0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0">
    <xf numFmtId="0" fontId="0" fillId="0" borderId="0">
      <alignment vertical="center"/>
    </xf>
    <xf numFmtId="0" fontId="17" fillId="0" borderId="0">
      <alignment vertical="center"/>
    </xf>
    <xf numFmtId="0" fontId="18" fillId="0" borderId="0"/>
    <xf numFmtId="0" fontId="16" fillId="0" borderId="0"/>
    <xf numFmtId="0" fontId="15" fillId="0" borderId="0"/>
    <xf numFmtId="0" fontId="18" fillId="0" borderId="0">
      <alignment vertical="center"/>
    </xf>
    <xf numFmtId="3" fontId="27" fillId="0" borderId="0" applyFont="0" applyFill="0" applyBorder="0" applyAlignment="0" applyProtection="0"/>
    <xf numFmtId="0" fontId="14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30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144">
    <xf numFmtId="0" fontId="0" fillId="0" borderId="0" xfId="0">
      <alignment vertical="center"/>
    </xf>
    <xf numFmtId="164" fontId="22" fillId="3" borderId="13" xfId="5" applyNumberFormat="1" applyFont="1" applyFill="1" applyBorder="1" applyAlignment="1">
      <alignment horizontal="center" vertical="center" wrapText="1" shrinkToFit="1"/>
    </xf>
    <xf numFmtId="0" fontId="22" fillId="3" borderId="12" xfId="5" applyFont="1" applyFill="1" applyBorder="1" applyAlignment="1">
      <alignment horizontal="center" vertical="center" wrapText="1" shrinkToFit="1"/>
    </xf>
    <xf numFmtId="0" fontId="22" fillId="3" borderId="4" xfId="5" applyFont="1" applyFill="1" applyBorder="1" applyAlignment="1">
      <alignment horizontal="center" vertical="center" wrapText="1" shrinkToFit="1"/>
    </xf>
    <xf numFmtId="164" fontId="22" fillId="3" borderId="1" xfId="5" applyNumberFormat="1" applyFont="1" applyFill="1" applyBorder="1" applyAlignment="1">
      <alignment horizontal="center" vertical="center" wrapText="1" shrinkToFit="1"/>
    </xf>
    <xf numFmtId="164" fontId="22" fillId="3" borderId="14" xfId="5" applyNumberFormat="1" applyFont="1" applyFill="1" applyBorder="1" applyAlignment="1">
      <alignment horizontal="center" vertical="center" wrapText="1" shrinkToFit="1"/>
    </xf>
    <xf numFmtId="164" fontId="22" fillId="3" borderId="6" xfId="5" applyNumberFormat="1" applyFont="1" applyFill="1" applyBorder="1" applyAlignment="1">
      <alignment horizontal="center" vertical="center" wrapText="1" shrinkToFit="1"/>
    </xf>
    <xf numFmtId="164" fontId="22" fillId="3" borderId="15" xfId="5" applyNumberFormat="1" applyFont="1" applyFill="1" applyBorder="1" applyAlignment="1">
      <alignment horizontal="center" vertical="center" wrapText="1" shrinkToFit="1"/>
    </xf>
    <xf numFmtId="164" fontId="22" fillId="3" borderId="36" xfId="5" applyNumberFormat="1" applyFont="1" applyFill="1" applyBorder="1" applyAlignment="1">
      <alignment horizontal="center" vertical="center" wrapText="1" shrinkToFit="1"/>
    </xf>
    <xf numFmtId="0" fontId="22" fillId="3" borderId="1" xfId="5" applyFont="1" applyFill="1" applyBorder="1" applyAlignment="1">
      <alignment horizontal="center" vertical="center" wrapText="1" shrinkToFit="1"/>
    </xf>
    <xf numFmtId="0" fontId="22" fillId="3" borderId="13" xfId="5" applyFont="1" applyFill="1" applyBorder="1" applyAlignment="1">
      <alignment horizontal="center" vertical="center" wrapText="1" shrinkToFit="1"/>
    </xf>
    <xf numFmtId="0" fontId="22" fillId="3" borderId="19" xfId="5" applyFont="1" applyFill="1" applyBorder="1" applyAlignment="1">
      <alignment horizontal="center" vertical="center" wrapText="1" shrinkToFit="1"/>
    </xf>
    <xf numFmtId="0" fontId="20" fillId="3" borderId="17" xfId="5" applyFont="1" applyFill="1" applyBorder="1" applyAlignment="1">
      <alignment horizontal="center" vertical="center" wrapText="1"/>
    </xf>
    <xf numFmtId="0" fontId="20" fillId="3" borderId="25" xfId="5" applyFont="1" applyFill="1" applyBorder="1" applyAlignment="1">
      <alignment horizontal="center" vertical="center" wrapText="1"/>
    </xf>
    <xf numFmtId="0" fontId="25" fillId="6" borderId="35" xfId="5" applyFont="1" applyFill="1" applyBorder="1" applyAlignment="1">
      <alignment horizontal="center" vertical="center"/>
    </xf>
    <xf numFmtId="0" fontId="25" fillId="6" borderId="21" xfId="5" applyFont="1" applyFill="1" applyBorder="1" applyAlignment="1">
      <alignment horizontal="center" vertical="center"/>
    </xf>
    <xf numFmtId="164" fontId="26" fillId="6" borderId="22" xfId="5" applyNumberFormat="1" applyFont="1" applyFill="1" applyBorder="1" applyAlignment="1">
      <alignment horizontal="center" vertical="center"/>
    </xf>
    <xf numFmtId="164" fontId="26" fillId="6" borderId="23" xfId="5" applyNumberFormat="1" applyFont="1" applyFill="1" applyBorder="1" applyAlignment="1">
      <alignment horizontal="center" vertical="center"/>
    </xf>
    <xf numFmtId="164" fontId="26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9" fillId="0" borderId="0" xfId="0" applyFont="1">
      <alignment vertical="center"/>
    </xf>
    <xf numFmtId="164" fontId="29" fillId="4" borderId="0" xfId="0" applyNumberFormat="1" applyFont="1" applyFill="1">
      <alignment vertical="center"/>
    </xf>
    <xf numFmtId="0" fontId="29" fillId="4" borderId="0" xfId="0" applyFont="1" applyFill="1">
      <alignment vertical="center"/>
    </xf>
    <xf numFmtId="0" fontId="29" fillId="4" borderId="0" xfId="0" applyFont="1" applyFill="1" applyAlignment="1">
      <alignment horizontal="center" vertical="center"/>
    </xf>
    <xf numFmtId="167" fontId="29" fillId="0" borderId="0" xfId="0" applyNumberFormat="1" applyFont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 applyProtection="1">
      <alignment horizontal="left" vertical="center" wrapText="1"/>
      <protection locked="0"/>
    </xf>
    <xf numFmtId="0" fontId="8" fillId="0" borderId="0" xfId="15"/>
    <xf numFmtId="164" fontId="24" fillId="2" borderId="41" xfId="15" applyNumberFormat="1" applyFont="1" applyFill="1" applyBorder="1" applyAlignment="1">
      <alignment horizontal="center" vertical="center"/>
    </xf>
    <xf numFmtId="164" fontId="24" fillId="2" borderId="23" xfId="15" applyNumberFormat="1" applyFont="1" applyFill="1" applyBorder="1" applyAlignment="1">
      <alignment horizontal="center" vertical="center"/>
    </xf>
    <xf numFmtId="164" fontId="24" fillId="2" borderId="40" xfId="15" applyNumberFormat="1" applyFont="1" applyFill="1" applyBorder="1" applyAlignment="1">
      <alignment horizontal="center" vertical="center"/>
    </xf>
    <xf numFmtId="164" fontId="24" fillId="2" borderId="42" xfId="15" applyNumberFormat="1" applyFont="1" applyFill="1" applyBorder="1" applyAlignment="1">
      <alignment horizontal="center" vertical="center"/>
    </xf>
    <xf numFmtId="164" fontId="24" fillId="2" borderId="39" xfId="15" applyNumberFormat="1" applyFont="1" applyFill="1" applyBorder="1" applyAlignment="1">
      <alignment horizontal="center" vertical="center"/>
    </xf>
    <xf numFmtId="0" fontId="23" fillId="5" borderId="18" xfId="15" applyFont="1" applyFill="1" applyBorder="1" applyAlignment="1">
      <alignment horizontal="center" vertical="center"/>
    </xf>
    <xf numFmtId="164" fontId="24" fillId="2" borderId="16" xfId="15" applyNumberFormat="1" applyFont="1" applyFill="1" applyBorder="1" applyAlignment="1">
      <alignment horizontal="center" vertical="center"/>
    </xf>
    <xf numFmtId="164" fontId="24" fillId="2" borderId="1" xfId="15" applyNumberFormat="1" applyFont="1" applyFill="1" applyBorder="1" applyAlignment="1">
      <alignment horizontal="center" vertical="center"/>
    </xf>
    <xf numFmtId="164" fontId="24" fillId="2" borderId="3" xfId="15" applyNumberFormat="1" applyFont="1" applyFill="1" applyBorder="1" applyAlignment="1">
      <alignment horizontal="center" vertical="center"/>
    </xf>
    <xf numFmtId="164" fontId="24" fillId="2" borderId="37" xfId="15" applyNumberFormat="1" applyFont="1" applyFill="1" applyBorder="1" applyAlignment="1">
      <alignment horizontal="center" vertical="center"/>
    </xf>
    <xf numFmtId="164" fontId="24" fillId="2" borderId="17" xfId="15" applyNumberFormat="1" applyFont="1" applyFill="1" applyBorder="1" applyAlignment="1">
      <alignment horizontal="center" vertical="center"/>
    </xf>
    <xf numFmtId="0" fontId="23" fillId="5" borderId="17" xfId="15" applyFont="1" applyFill="1" applyBorder="1" applyAlignment="1">
      <alignment horizontal="center" vertical="center"/>
    </xf>
    <xf numFmtId="164" fontId="24" fillId="2" borderId="19" xfId="15" applyNumberFormat="1" applyFont="1" applyFill="1" applyBorder="1" applyAlignment="1">
      <alignment horizontal="center" vertical="center"/>
    </xf>
    <xf numFmtId="164" fontId="24" fillId="2" borderId="2" xfId="15" applyNumberFormat="1" applyFont="1" applyFill="1" applyBorder="1" applyAlignment="1">
      <alignment horizontal="center" vertical="center"/>
    </xf>
    <xf numFmtId="164" fontId="24" fillId="2" borderId="5" xfId="15" applyNumberFormat="1" applyFont="1" applyFill="1" applyBorder="1" applyAlignment="1">
      <alignment horizontal="center" vertical="center"/>
    </xf>
    <xf numFmtId="164" fontId="24" fillId="2" borderId="38" xfId="15" applyNumberFormat="1" applyFont="1" applyFill="1" applyBorder="1" applyAlignment="1">
      <alignment horizontal="center" vertical="center"/>
    </xf>
    <xf numFmtId="164" fontId="24" fillId="2" borderId="18" xfId="15" applyNumberFormat="1" applyFont="1" applyFill="1" applyBorder="1" applyAlignment="1">
      <alignment horizontal="center" vertical="center"/>
    </xf>
    <xf numFmtId="164" fontId="24" fillId="2" borderId="13" xfId="15" applyNumberFormat="1" applyFont="1" applyFill="1" applyBorder="1" applyAlignment="1">
      <alignment horizontal="center" vertical="center"/>
    </xf>
    <xf numFmtId="164" fontId="24" fillId="2" borderId="12" xfId="15" applyNumberFormat="1" applyFont="1" applyFill="1" applyBorder="1" applyAlignment="1">
      <alignment horizontal="center" vertical="center"/>
    </xf>
    <xf numFmtId="0" fontId="23" fillId="5" borderId="25" xfId="15" applyFont="1" applyFill="1" applyBorder="1" applyAlignment="1">
      <alignment horizontal="center" vertical="center"/>
    </xf>
    <xf numFmtId="0" fontId="19" fillId="0" borderId="34" xfId="15" applyFont="1" applyBorder="1" applyAlignment="1">
      <alignment vertical="center" wrapText="1"/>
    </xf>
    <xf numFmtId="0" fontId="19" fillId="0" borderId="33" xfId="15" applyFont="1" applyBorder="1" applyAlignment="1">
      <alignment vertical="center" wrapText="1"/>
    </xf>
    <xf numFmtId="0" fontId="19" fillId="0" borderId="32" xfId="15" applyFont="1" applyBorder="1" applyAlignment="1">
      <alignment vertical="center" wrapText="1"/>
    </xf>
    <xf numFmtId="0" fontId="19" fillId="0" borderId="10" xfId="15" applyFont="1" applyBorder="1" applyAlignment="1">
      <alignment horizontal="center" vertical="center" wrapText="1"/>
    </xf>
    <xf numFmtId="0" fontId="19" fillId="0" borderId="26" xfId="15" applyFont="1" applyBorder="1" applyAlignment="1">
      <alignment vertical="center" wrapText="1"/>
    </xf>
    <xf numFmtId="0" fontId="19" fillId="0" borderId="27" xfId="15" applyFont="1" applyBorder="1" applyAlignment="1">
      <alignment vertical="center" wrapText="1"/>
    </xf>
    <xf numFmtId="0" fontId="19" fillId="0" borderId="28" xfId="15" applyFont="1" applyBorder="1" applyAlignment="1">
      <alignment vertical="center" wrapText="1"/>
    </xf>
    <xf numFmtId="0" fontId="19" fillId="0" borderId="29" xfId="15" applyFont="1" applyBorder="1" applyAlignment="1">
      <alignment horizontal="center" vertical="top" wrapText="1"/>
    </xf>
    <xf numFmtId="0" fontId="19" fillId="0" borderId="30" xfId="15" applyFont="1" applyBorder="1" applyAlignment="1">
      <alignment vertical="center" wrapText="1"/>
    </xf>
    <xf numFmtId="0" fontId="19" fillId="0" borderId="0" xfId="15" applyFont="1" applyAlignment="1">
      <alignment vertical="center" wrapText="1"/>
    </xf>
    <xf numFmtId="0" fontId="19" fillId="0" borderId="20" xfId="15" applyFont="1" applyBorder="1" applyAlignment="1">
      <alignment vertical="center" wrapText="1"/>
    </xf>
    <xf numFmtId="0" fontId="19" fillId="0" borderId="31" xfId="15" applyFont="1" applyBorder="1" applyAlignment="1">
      <alignment horizontal="center" wrapText="1"/>
    </xf>
    <xf numFmtId="14" fontId="19" fillId="0" borderId="31" xfId="15" applyNumberFormat="1" applyFont="1" applyBorder="1" applyAlignment="1">
      <alignment horizontal="center" vertical="top" wrapText="1"/>
    </xf>
    <xf numFmtId="0" fontId="19" fillId="0" borderId="9" xfId="15" applyFont="1" applyBorder="1" applyAlignment="1">
      <alignment vertical="center" wrapText="1"/>
    </xf>
    <xf numFmtId="0" fontId="19" fillId="0" borderId="8" xfId="15" applyFont="1" applyBorder="1" applyAlignment="1">
      <alignment vertical="center" wrapText="1"/>
    </xf>
    <xf numFmtId="0" fontId="19" fillId="0" borderId="7" xfId="15" applyFont="1" applyBorder="1" applyAlignment="1">
      <alignment vertical="center" wrapText="1"/>
    </xf>
    <xf numFmtId="0" fontId="19" fillId="0" borderId="11" xfId="15" applyFont="1" applyBorder="1" applyAlignment="1">
      <alignment horizontal="center" wrapText="1"/>
    </xf>
    <xf numFmtId="0" fontId="28" fillId="0" borderId="34" xfId="15" applyFont="1" applyBorder="1" applyAlignment="1">
      <alignment vertical="center" wrapText="1"/>
    </xf>
    <xf numFmtId="0" fontId="28" fillId="0" borderId="33" xfId="15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31" fillId="0" borderId="0" xfId="0" applyFont="1" applyAlignment="1"/>
    <xf numFmtId="164" fontId="32" fillId="7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164" fontId="33" fillId="0" borderId="1" xfId="0" applyNumberFormat="1" applyFont="1" applyBorder="1" applyAlignment="1">
      <alignment horizontal="center" vertical="center" wrapText="1"/>
    </xf>
    <xf numFmtId="0" fontId="33" fillId="0" borderId="1" xfId="0" applyFont="1" applyBorder="1" applyAlignment="1">
      <alignment vertical="center" wrapText="1"/>
    </xf>
    <xf numFmtId="16" fontId="33" fillId="0" borderId="1" xfId="0" applyNumberFormat="1" applyFont="1" applyBorder="1" applyAlignment="1">
      <alignment horizontal="center" vertical="center" wrapText="1"/>
    </xf>
    <xf numFmtId="0" fontId="32" fillId="9" borderId="17" xfId="0" applyFont="1" applyFill="1" applyBorder="1" applyAlignment="1">
      <alignment horizontal="right" vertical="center"/>
    </xf>
    <xf numFmtId="2" fontId="32" fillId="9" borderId="4" xfId="0" applyNumberFormat="1" applyFont="1" applyFill="1" applyBorder="1" applyAlignment="1">
      <alignment horizontal="left" vertical="center"/>
    </xf>
    <xf numFmtId="164" fontId="34" fillId="8" borderId="1" xfId="0" applyNumberFormat="1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2" fontId="34" fillId="3" borderId="1" xfId="0" applyNumberFormat="1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 wrapText="1"/>
    </xf>
    <xf numFmtId="164" fontId="32" fillId="9" borderId="1" xfId="0" applyNumberFormat="1" applyFont="1" applyFill="1" applyBorder="1" applyAlignment="1">
      <alignment horizontal="center" vertical="center"/>
    </xf>
    <xf numFmtId="164" fontId="26" fillId="6" borderId="47" xfId="5" applyNumberFormat="1" applyFont="1" applyFill="1" applyBorder="1" applyAlignment="1">
      <alignment horizontal="center" vertical="center"/>
    </xf>
    <xf numFmtId="164" fontId="26" fillId="6" borderId="48" xfId="5" applyNumberFormat="1" applyFont="1" applyFill="1" applyBorder="1" applyAlignment="1">
      <alignment horizontal="center" vertical="center"/>
    </xf>
    <xf numFmtId="164" fontId="26" fillId="6" borderId="49" xfId="5" applyNumberFormat="1" applyFont="1" applyFill="1" applyBorder="1" applyAlignment="1">
      <alignment horizontal="center" vertical="center"/>
    </xf>
    <xf numFmtId="0" fontId="34" fillId="10" borderId="1" xfId="0" applyFont="1" applyFill="1" applyBorder="1" applyAlignment="1">
      <alignment horizontal="center" vertical="center" wrapText="1"/>
    </xf>
    <xf numFmtId="164" fontId="24" fillId="0" borderId="1" xfId="0" applyNumberFormat="1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6" fillId="0" borderId="0" xfId="0" applyFont="1">
      <alignment vertical="center"/>
    </xf>
    <xf numFmtId="15" fontId="36" fillId="0" borderId="0" xfId="0" applyNumberFormat="1" applyFont="1" applyAlignment="1"/>
    <xf numFmtId="0" fontId="37" fillId="0" borderId="32" xfId="15" applyFont="1" applyBorder="1" applyAlignment="1">
      <alignment horizontal="center" vertical="center" wrapText="1"/>
    </xf>
    <xf numFmtId="15" fontId="38" fillId="0" borderId="0" xfId="0" applyNumberFormat="1" applyFont="1" applyAlignment="1"/>
    <xf numFmtId="0" fontId="36" fillId="0" borderId="0" xfId="28" applyFont="1"/>
    <xf numFmtId="166" fontId="36" fillId="0" borderId="0" xfId="28" applyNumberFormat="1" applyFont="1"/>
    <xf numFmtId="0" fontId="36" fillId="0" borderId="0" xfId="28" quotePrefix="1" applyFont="1"/>
    <xf numFmtId="0" fontId="36" fillId="0" borderId="0" xfId="28" applyFont="1" applyAlignment="1">
      <alignment horizontal="center" vertical="center"/>
    </xf>
    <xf numFmtId="0" fontId="36" fillId="0" borderId="0" xfId="28" applyFont="1" applyAlignment="1">
      <alignment vertical="center"/>
    </xf>
    <xf numFmtId="0" fontId="36" fillId="0" borderId="0" xfId="29" applyFont="1" applyAlignment="1">
      <alignment horizontal="center" vertical="center"/>
    </xf>
    <xf numFmtId="164" fontId="36" fillId="0" borderId="0" xfId="28" applyNumberFormat="1" applyFont="1"/>
    <xf numFmtId="0" fontId="36" fillId="0" borderId="0" xfId="28" applyFont="1" applyAlignment="1">
      <alignment horizontal="center"/>
    </xf>
    <xf numFmtId="0" fontId="36" fillId="0" borderId="0" xfId="29" applyFont="1" applyAlignment="1">
      <alignment horizontal="center"/>
    </xf>
    <xf numFmtId="2" fontId="36" fillId="0" borderId="0" xfId="29" applyNumberFormat="1" applyFont="1" applyAlignment="1">
      <alignment horizontal="center" vertical="center"/>
    </xf>
    <xf numFmtId="0" fontId="36" fillId="0" borderId="0" xfId="29" applyFont="1"/>
    <xf numFmtId="2" fontId="36" fillId="0" borderId="0" xfId="29" applyNumberFormat="1" applyFont="1"/>
    <xf numFmtId="15" fontId="39" fillId="0" borderId="0" xfId="0" applyNumberFormat="1" applyFont="1" applyAlignment="1"/>
    <xf numFmtId="0" fontId="21" fillId="3" borderId="28" xfId="5" applyFont="1" applyFill="1" applyBorder="1" applyAlignment="1">
      <alignment horizontal="center" vertical="center" wrapText="1"/>
    </xf>
    <xf numFmtId="0" fontId="21" fillId="3" borderId="27" xfId="5" applyFont="1" applyFill="1" applyBorder="1" applyAlignment="1">
      <alignment horizontal="center" vertical="center" wrapText="1"/>
    </xf>
    <xf numFmtId="0" fontId="21" fillId="3" borderId="26" xfId="5" applyFont="1" applyFill="1" applyBorder="1" applyAlignment="1">
      <alignment horizontal="center" vertical="center" wrapText="1"/>
    </xf>
    <xf numFmtId="0" fontId="19" fillId="4" borderId="11" xfId="5" applyFont="1" applyFill="1" applyBorder="1" applyAlignment="1">
      <alignment horizontal="center" vertical="center" wrapText="1"/>
    </xf>
    <xf numFmtId="0" fontId="19" fillId="4" borderId="35" xfId="5" applyFont="1" applyFill="1" applyBorder="1" applyAlignment="1">
      <alignment horizontal="center" vertical="center" wrapText="1"/>
    </xf>
    <xf numFmtId="0" fontId="19" fillId="4" borderId="43" xfId="5" applyFont="1" applyFill="1" applyBorder="1" applyAlignment="1">
      <alignment horizontal="center" vertical="center" wrapText="1"/>
    </xf>
    <xf numFmtId="0" fontId="19" fillId="4" borderId="44" xfId="5" applyFont="1" applyFill="1" applyBorder="1" applyAlignment="1">
      <alignment horizontal="center" vertical="center" wrapText="1"/>
    </xf>
    <xf numFmtId="0" fontId="20" fillId="3" borderId="32" xfId="5" applyFont="1" applyFill="1" applyBorder="1" applyAlignment="1">
      <alignment horizontal="center" vertical="center" wrapText="1"/>
    </xf>
    <xf numFmtId="0" fontId="20" fillId="3" borderId="35" xfId="5" applyFont="1" applyFill="1" applyBorder="1" applyAlignment="1">
      <alignment horizontal="center" vertical="center" wrapText="1"/>
    </xf>
    <xf numFmtId="0" fontId="19" fillId="3" borderId="11" xfId="5" applyFont="1" applyFill="1" applyBorder="1" applyAlignment="1">
      <alignment horizontal="center" vertical="center" wrapText="1"/>
    </xf>
    <xf numFmtId="0" fontId="19" fillId="3" borderId="8" xfId="5" applyFont="1" applyFill="1" applyBorder="1" applyAlignment="1">
      <alignment horizontal="center" vertical="center" wrapText="1"/>
    </xf>
    <xf numFmtId="0" fontId="19" fillId="3" borderId="9" xfId="5" applyFont="1" applyFill="1" applyBorder="1" applyAlignment="1">
      <alignment horizontal="center" vertical="center" wrapText="1"/>
    </xf>
    <xf numFmtId="0" fontId="19" fillId="3" borderId="7" xfId="5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 wrapText="1"/>
    </xf>
    <xf numFmtId="0" fontId="33" fillId="0" borderId="4" xfId="0" applyFont="1" applyBorder="1" applyAlignment="1">
      <alignment horizontal="center" vertical="center" wrapText="1"/>
    </xf>
    <xf numFmtId="0" fontId="34" fillId="10" borderId="3" xfId="0" applyFont="1" applyFill="1" applyBorder="1" applyAlignment="1">
      <alignment horizontal="center" vertical="center" wrapText="1"/>
    </xf>
    <xf numFmtId="0" fontId="34" fillId="10" borderId="4" xfId="0" applyFont="1" applyFill="1" applyBorder="1" applyAlignment="1">
      <alignment horizontal="center" vertical="center" wrapText="1"/>
    </xf>
    <xf numFmtId="0" fontId="34" fillId="0" borderId="5" xfId="0" applyFont="1" applyBorder="1" applyAlignment="1">
      <alignment horizontal="center" vertical="center" wrapText="1"/>
    </xf>
    <xf numFmtId="0" fontId="34" fillId="0" borderId="45" xfId="0" applyFont="1" applyBorder="1" applyAlignment="1">
      <alignment horizontal="center" vertical="center" wrapText="1"/>
    </xf>
    <xf numFmtId="0" fontId="34" fillId="0" borderId="6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 wrapText="1"/>
    </xf>
    <xf numFmtId="0" fontId="32" fillId="7" borderId="17" xfId="0" applyFont="1" applyFill="1" applyBorder="1" applyAlignment="1">
      <alignment horizontal="center" vertical="center"/>
    </xf>
    <xf numFmtId="0" fontId="32" fillId="7" borderId="4" xfId="0" applyFont="1" applyFill="1" applyBorder="1" applyAlignment="1">
      <alignment horizontal="center" vertical="center"/>
    </xf>
    <xf numFmtId="0" fontId="32" fillId="9" borderId="17" xfId="0" applyFont="1" applyFill="1" applyBorder="1" applyAlignment="1">
      <alignment horizontal="center" vertical="center"/>
    </xf>
    <xf numFmtId="0" fontId="32" fillId="9" borderId="4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 wrapText="1"/>
    </xf>
    <xf numFmtId="0" fontId="34" fillId="3" borderId="3" xfId="0" applyFont="1" applyFill="1" applyBorder="1" applyAlignment="1">
      <alignment horizontal="center" vertical="center" wrapText="1"/>
    </xf>
    <xf numFmtId="0" fontId="34" fillId="3" borderId="4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center" vertical="center" wrapText="1"/>
    </xf>
    <xf numFmtId="0" fontId="34" fillId="8" borderId="4" xfId="0" applyFont="1" applyFill="1" applyBorder="1" applyAlignment="1">
      <alignment horizontal="center" vertical="center" wrapText="1"/>
    </xf>
    <xf numFmtId="0" fontId="34" fillId="0" borderId="46" xfId="0" applyFont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 wrapText="1"/>
    </xf>
  </cellXfs>
  <cellStyles count="30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="" xmlns:a16="http://schemas.microsoft.com/office/drawing/2014/main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491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1" t="str">
        <f>C13&amp;"~"&amp;C12&amp;" mm"</f>
        <v>~ mm</v>
      </c>
      <c r="D9" s="112"/>
      <c r="E9" s="112"/>
      <c r="F9" s="113"/>
      <c r="G9" s="111" t="str">
        <f>G13&amp;"~"&amp;G12&amp;" mm"</f>
        <v>~ mm</v>
      </c>
      <c r="H9" s="112"/>
      <c r="I9" s="112"/>
      <c r="J9" s="113"/>
    </row>
    <row r="10" spans="1:10" ht="41.25" customHeight="1" thickBot="1">
      <c r="B10" s="118"/>
      <c r="C10" s="114"/>
      <c r="D10" s="114"/>
      <c r="E10" s="114"/>
      <c r="F10" s="114"/>
      <c r="G10" s="115"/>
      <c r="H10" s="116"/>
      <c r="I10" s="116"/>
      <c r="J10" s="117"/>
    </row>
    <row r="11" spans="1:10" ht="12.75" customHeight="1">
      <c r="B11" s="119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s">
        <v>500</v>
      </c>
      <c r="D1" s="26"/>
      <c r="E1" s="28" t="s">
        <v>156</v>
      </c>
      <c r="F1" s="28">
        <v>4</v>
      </c>
      <c r="G1" s="25" t="s">
        <v>403</v>
      </c>
      <c r="H1" s="25" t="s">
        <v>501</v>
      </c>
      <c r="I1" s="29" t="s">
        <v>499</v>
      </c>
      <c r="J1" s="25" t="s">
        <v>144</v>
      </c>
      <c r="K1" s="25" t="s">
        <v>504</v>
      </c>
      <c r="L1" s="25" t="s">
        <v>503</v>
      </c>
    </row>
    <row r="2" spans="1:12">
      <c r="A2" s="19">
        <v>1</v>
      </c>
      <c r="B2" s="19">
        <v>3</v>
      </c>
      <c r="C2" s="20">
        <f>IF(AND(A2&lt;&gt;"",B2&lt;&gt;""),IF(A2&lt;0.002,"NG Zero Set",IF(B2-A2-D2&lt;0.27,"Badmark",B2-A2-D2)),"")</f>
        <v>2</v>
      </c>
      <c r="D2" s="26">
        <v>0</v>
      </c>
      <c r="H2" s="19"/>
    </row>
    <row r="3" spans="1:12">
      <c r="A3" s="19">
        <v>1</v>
      </c>
      <c r="B3" s="19">
        <v>4</v>
      </c>
      <c r="C3" s="20">
        <f t="shared" ref="C3:C66" si="0">IF(AND(A3&lt;&gt;"",B3&lt;&gt;""),IF(A3&lt;0.002,"NG Zero Set",IF(B3-A3-D3&lt;0.27,"Badmark",B3-A3-D3)),"")</f>
        <v>3</v>
      </c>
      <c r="D3" s="26">
        <v>0</v>
      </c>
      <c r="F3" s="19"/>
      <c r="G3" s="19"/>
      <c r="H3" s="19"/>
    </row>
    <row r="4" spans="1:12">
      <c r="A4" s="19">
        <v>1</v>
      </c>
      <c r="B4" s="19">
        <v>1</v>
      </c>
      <c r="C4" s="20" t="str">
        <f t="shared" si="0"/>
        <v>Badmark</v>
      </c>
      <c r="D4" s="26">
        <v>0</v>
      </c>
      <c r="G4" s="23"/>
      <c r="H4" s="19"/>
    </row>
    <row r="5" spans="1:12">
      <c r="A5" s="19">
        <v>1</v>
      </c>
      <c r="C5" s="20" t="str">
        <f t="shared" si="0"/>
        <v/>
      </c>
      <c r="D5" s="26">
        <v>0</v>
      </c>
      <c r="F5" s="23"/>
      <c r="G5" s="23"/>
      <c r="H5" s="19"/>
    </row>
    <row r="6" spans="1:12">
      <c r="A6" s="19"/>
      <c r="C6" s="20" t="str">
        <f t="shared" si="0"/>
        <v/>
      </c>
      <c r="D6" s="26">
        <v>0</v>
      </c>
      <c r="E6"/>
      <c r="F6" s="23"/>
      <c r="G6" s="23"/>
      <c r="H6" s="19"/>
    </row>
    <row r="7" spans="1:12" ht="13.5" customHeight="1">
      <c r="A7" s="19"/>
      <c r="C7" s="20" t="str">
        <f t="shared" si="0"/>
        <v/>
      </c>
      <c r="D7" s="26">
        <v>0</v>
      </c>
      <c r="E7"/>
      <c r="F7" s="23"/>
      <c r="G7" s="23"/>
      <c r="H7" s="19"/>
    </row>
    <row r="8" spans="1:12">
      <c r="A8" s="19"/>
      <c r="C8" s="20" t="str">
        <f t="shared" si="0"/>
        <v/>
      </c>
      <c r="D8" s="26">
        <v>0</v>
      </c>
      <c r="E8"/>
      <c r="F8" s="23"/>
      <c r="G8" s="23"/>
      <c r="H8" s="19"/>
      <c r="K8" s="24"/>
    </row>
    <row r="9" spans="1:12">
      <c r="A9" s="19"/>
      <c r="C9" s="20" t="str">
        <f t="shared" si="0"/>
        <v/>
      </c>
      <c r="D9" s="26">
        <v>0</v>
      </c>
      <c r="E9"/>
      <c r="F9" s="23"/>
      <c r="G9" s="23"/>
      <c r="H9" s="19"/>
    </row>
    <row r="10" spans="1:12">
      <c r="A10" s="19"/>
      <c r="C10" s="20" t="str">
        <f t="shared" si="0"/>
        <v/>
      </c>
      <c r="D10" s="26">
        <v>0</v>
      </c>
      <c r="E10"/>
      <c r="F10" s="23"/>
      <c r="G10" s="23"/>
      <c r="H10" s="19"/>
    </row>
    <row r="11" spans="1:12">
      <c r="A11" s="19"/>
      <c r="C11" s="20" t="str">
        <f t="shared" si="0"/>
        <v/>
      </c>
      <c r="D11" s="26">
        <v>0</v>
      </c>
      <c r="E11"/>
      <c r="F11" s="23"/>
      <c r="G11" s="23"/>
      <c r="H11" s="19"/>
    </row>
    <row r="12" spans="1:12">
      <c r="A12" s="19"/>
      <c r="C12" s="20" t="str">
        <f t="shared" si="0"/>
        <v/>
      </c>
      <c r="D12" s="26">
        <v>0</v>
      </c>
      <c r="E12"/>
      <c r="F12" s="23"/>
      <c r="G12" s="23"/>
      <c r="H12" s="19"/>
    </row>
    <row r="13" spans="1:12">
      <c r="A13" s="19"/>
      <c r="C13" s="20" t="str">
        <f t="shared" si="0"/>
        <v/>
      </c>
      <c r="D13" s="26">
        <v>0</v>
      </c>
      <c r="E13"/>
      <c r="F13" s="23"/>
      <c r="G13" s="23"/>
      <c r="H13" s="19"/>
    </row>
    <row r="14" spans="1:12">
      <c r="A14" s="19"/>
      <c r="C14" s="20" t="str">
        <f t="shared" si="0"/>
        <v/>
      </c>
      <c r="D14" s="26">
        <v>0</v>
      </c>
      <c r="G14" s="23"/>
      <c r="H14" s="23"/>
      <c r="I14" s="19"/>
    </row>
    <row r="15" spans="1:12">
      <c r="A15" s="19"/>
      <c r="C15" s="20" t="str">
        <f t="shared" si="0"/>
        <v/>
      </c>
      <c r="D15" s="26">
        <v>0</v>
      </c>
      <c r="G15" s="23"/>
      <c r="H15" s="23"/>
      <c r="I15" s="19"/>
    </row>
    <row r="16" spans="1:12">
      <c r="A16" s="19"/>
      <c r="C16" s="20" t="str">
        <f t="shared" si="0"/>
        <v/>
      </c>
      <c r="D16" s="26">
        <v>0</v>
      </c>
      <c r="G16" s="23"/>
      <c r="H16" s="23"/>
      <c r="I16" s="19"/>
    </row>
    <row r="17" spans="1:9">
      <c r="A17" s="19"/>
      <c r="C17" s="20" t="str">
        <f t="shared" si="0"/>
        <v/>
      </c>
      <c r="D17" s="26">
        <v>0</v>
      </c>
      <c r="G17" s="23"/>
      <c r="H17" s="23"/>
      <c r="I17" s="19"/>
    </row>
    <row r="18" spans="1:9">
      <c r="A18" s="19"/>
      <c r="C18" s="20" t="str">
        <f t="shared" si="0"/>
        <v/>
      </c>
      <c r="D18" s="26">
        <v>0</v>
      </c>
      <c r="G18" s="23"/>
      <c r="H18" s="23"/>
      <c r="I18" s="19"/>
    </row>
    <row r="19" spans="1:9">
      <c r="A19" s="19"/>
      <c r="C19" s="20" t="str">
        <f t="shared" si="0"/>
        <v/>
      </c>
      <c r="D19" s="26">
        <v>0</v>
      </c>
      <c r="G19" s="23"/>
      <c r="H19" s="23"/>
      <c r="I19" s="19"/>
    </row>
    <row r="20" spans="1:9">
      <c r="A20" s="19"/>
      <c r="C20" s="20" t="str">
        <f t="shared" si="0"/>
        <v/>
      </c>
      <c r="D20" s="26">
        <v>0</v>
      </c>
      <c r="G20" s="23"/>
      <c r="H20" s="23"/>
      <c r="I20" s="19"/>
    </row>
    <row r="21" spans="1:9">
      <c r="A21" s="19"/>
      <c r="C21" s="20" t="str">
        <f t="shared" si="0"/>
        <v/>
      </c>
      <c r="D21" s="26">
        <v>0</v>
      </c>
      <c r="G21" s="23"/>
      <c r="H21" s="23"/>
      <c r="I21" s="19"/>
    </row>
    <row r="22" spans="1:9">
      <c r="A22" s="19"/>
      <c r="C22" s="20" t="str">
        <f t="shared" si="0"/>
        <v/>
      </c>
      <c r="D22" s="26">
        <v>0</v>
      </c>
      <c r="G22" s="23"/>
      <c r="H22" s="23"/>
      <c r="I22" s="19"/>
    </row>
    <row r="23" spans="1:9">
      <c r="A23" s="19"/>
      <c r="C23" s="20" t="str">
        <f t="shared" si="0"/>
        <v/>
      </c>
      <c r="D23" s="26">
        <v>0</v>
      </c>
      <c r="G23" s="23"/>
      <c r="H23" s="23"/>
      <c r="I23" s="19"/>
    </row>
    <row r="24" spans="1:9">
      <c r="A24" s="19"/>
      <c r="C24" s="20" t="str">
        <f t="shared" si="0"/>
        <v/>
      </c>
      <c r="D24" s="26">
        <v>0</v>
      </c>
      <c r="G24" s="23"/>
      <c r="H24" s="23"/>
      <c r="I24" s="19"/>
    </row>
    <row r="25" spans="1:9">
      <c r="A25" s="19"/>
      <c r="C25" s="20" t="str">
        <f t="shared" si="0"/>
        <v/>
      </c>
      <c r="D25" s="26">
        <v>0</v>
      </c>
      <c r="G25" s="23"/>
      <c r="H25" s="23"/>
      <c r="I25" s="19"/>
    </row>
    <row r="26" spans="1:9">
      <c r="A26" s="19"/>
      <c r="C26" s="20" t="str">
        <f t="shared" si="0"/>
        <v/>
      </c>
      <c r="D26" s="26">
        <v>0</v>
      </c>
      <c r="G26" s="23"/>
      <c r="H26" s="23"/>
      <c r="I26" s="19"/>
    </row>
    <row r="27" spans="1:9">
      <c r="A27" s="19"/>
      <c r="C27" s="20" t="str">
        <f t="shared" si="0"/>
        <v/>
      </c>
      <c r="D27" s="26">
        <v>0</v>
      </c>
      <c r="G27" s="23"/>
      <c r="H27" s="23"/>
      <c r="I27" s="19"/>
    </row>
    <row r="28" spans="1:9">
      <c r="A28" s="19"/>
      <c r="C28" s="20" t="str">
        <f t="shared" si="0"/>
        <v/>
      </c>
      <c r="D28" s="26">
        <v>0</v>
      </c>
      <c r="G28" s="23"/>
      <c r="H28" s="23"/>
      <c r="I28" s="19"/>
    </row>
    <row r="29" spans="1:9">
      <c r="A29" s="19"/>
      <c r="C29" s="20" t="str">
        <f t="shared" si="0"/>
        <v/>
      </c>
      <c r="D29" s="26">
        <v>0</v>
      </c>
      <c r="G29" s="23"/>
      <c r="H29" s="23"/>
      <c r="I29" s="19"/>
    </row>
    <row r="30" spans="1:9">
      <c r="A30" s="19"/>
      <c r="C30" s="20" t="str">
        <f t="shared" si="0"/>
        <v/>
      </c>
      <c r="D30" s="26">
        <v>0</v>
      </c>
    </row>
    <row r="31" spans="1:9">
      <c r="A31" s="19"/>
      <c r="C31" s="20" t="str">
        <f t="shared" si="0"/>
        <v/>
      </c>
      <c r="D31" s="26">
        <v>0</v>
      </c>
    </row>
    <row r="32" spans="1:9">
      <c r="A32" s="19"/>
      <c r="C32" s="20" t="str">
        <f t="shared" si="0"/>
        <v/>
      </c>
      <c r="D32" s="26">
        <v>0</v>
      </c>
    </row>
    <row r="33" spans="1:4">
      <c r="A33" s="19"/>
      <c r="C33" s="20" t="str">
        <f t="shared" si="0"/>
        <v/>
      </c>
      <c r="D33" s="26">
        <v>0</v>
      </c>
    </row>
    <row r="34" spans="1:4">
      <c r="A34" s="19"/>
      <c r="C34" s="20" t="str">
        <f t="shared" si="0"/>
        <v/>
      </c>
      <c r="D34" s="26">
        <v>0</v>
      </c>
    </row>
    <row r="35" spans="1:4">
      <c r="A35" s="19"/>
      <c r="C35" s="20" t="str">
        <f t="shared" si="0"/>
        <v/>
      </c>
      <c r="D35" s="26">
        <v>0</v>
      </c>
    </row>
    <row r="36" spans="1:4">
      <c r="A36" s="19"/>
      <c r="C36" s="20" t="str">
        <f t="shared" si="0"/>
        <v/>
      </c>
      <c r="D36" s="26">
        <v>0</v>
      </c>
    </row>
    <row r="37" spans="1:4">
      <c r="A37" s="19"/>
      <c r="C37" s="20" t="str">
        <f t="shared" si="0"/>
        <v/>
      </c>
      <c r="D37" s="26">
        <v>0</v>
      </c>
    </row>
    <row r="38" spans="1:4">
      <c r="A38" s="19"/>
      <c r="C38" s="20" t="str">
        <f t="shared" si="0"/>
        <v/>
      </c>
      <c r="D38" s="26">
        <v>0</v>
      </c>
    </row>
    <row r="39" spans="1:4">
      <c r="A39" s="19"/>
      <c r="C39" s="20" t="str">
        <f t="shared" si="0"/>
        <v/>
      </c>
      <c r="D39" s="26">
        <v>0</v>
      </c>
    </row>
    <row r="40" spans="1:4">
      <c r="A40" s="19"/>
      <c r="C40" s="20" t="str">
        <f t="shared" si="0"/>
        <v/>
      </c>
      <c r="D40" s="26">
        <v>0</v>
      </c>
    </row>
    <row r="41" spans="1:4">
      <c r="A41" s="19"/>
      <c r="C41" s="20" t="str">
        <f t="shared" si="0"/>
        <v/>
      </c>
      <c r="D41" s="26">
        <v>0</v>
      </c>
    </row>
    <row r="42" spans="1:4">
      <c r="A42" s="19"/>
      <c r="C42" s="20" t="str">
        <f t="shared" si="0"/>
        <v/>
      </c>
      <c r="D42" s="26">
        <v>0</v>
      </c>
    </row>
    <row r="43" spans="1:4">
      <c r="A43" s="19"/>
      <c r="C43" s="20" t="str">
        <f t="shared" si="0"/>
        <v/>
      </c>
      <c r="D43" s="26">
        <v>0</v>
      </c>
    </row>
    <row r="44" spans="1:4">
      <c r="A44" s="19"/>
      <c r="C44" s="20" t="str">
        <f t="shared" si="0"/>
        <v/>
      </c>
      <c r="D44" s="26">
        <v>0</v>
      </c>
    </row>
    <row r="45" spans="1:4">
      <c r="A45" s="19"/>
      <c r="C45" s="20" t="str">
        <f t="shared" si="0"/>
        <v/>
      </c>
      <c r="D45" s="26">
        <v>0</v>
      </c>
    </row>
    <row r="46" spans="1:4">
      <c r="A46" s="19"/>
      <c r="C46" s="20" t="str">
        <f t="shared" si="0"/>
        <v/>
      </c>
      <c r="D46" s="26">
        <v>0</v>
      </c>
    </row>
    <row r="47" spans="1:4">
      <c r="A47" s="19"/>
      <c r="C47" s="20" t="str">
        <f t="shared" si="0"/>
        <v/>
      </c>
      <c r="D47" s="26">
        <v>0</v>
      </c>
    </row>
    <row r="48" spans="1:4">
      <c r="A48" s="19"/>
      <c r="C48" s="20" t="str">
        <f t="shared" si="0"/>
        <v/>
      </c>
      <c r="D48" s="26">
        <v>0</v>
      </c>
    </row>
    <row r="49" spans="1:4">
      <c r="A49" s="19"/>
      <c r="C49" s="20" t="str">
        <f t="shared" si="0"/>
        <v/>
      </c>
      <c r="D49" s="26">
        <v>0</v>
      </c>
    </row>
    <row r="50" spans="1:4">
      <c r="A50" s="19">
        <v>2</v>
      </c>
      <c r="B50" s="19">
        <v>4</v>
      </c>
      <c r="C50" s="20">
        <f t="shared" si="0"/>
        <v>2</v>
      </c>
      <c r="D50" s="26">
        <v>0</v>
      </c>
    </row>
    <row r="51" spans="1:4">
      <c r="A51" s="19">
        <v>2</v>
      </c>
      <c r="B51" s="19">
        <v>5</v>
      </c>
      <c r="C51" s="20">
        <f t="shared" si="0"/>
        <v>3</v>
      </c>
      <c r="D51" s="26">
        <v>0</v>
      </c>
    </row>
    <row r="52" spans="1:4">
      <c r="A52" s="19">
        <v>2</v>
      </c>
      <c r="C52" s="20" t="str">
        <f t="shared" si="0"/>
        <v/>
      </c>
      <c r="D52" s="26">
        <v>0</v>
      </c>
    </row>
    <row r="53" spans="1:4">
      <c r="A53" s="19">
        <v>2</v>
      </c>
      <c r="C53" s="20" t="str">
        <f t="shared" si="0"/>
        <v/>
      </c>
      <c r="D53" s="26">
        <v>0</v>
      </c>
    </row>
    <row r="54" spans="1:4">
      <c r="A54" s="19"/>
      <c r="C54" s="20" t="str">
        <f t="shared" si="0"/>
        <v/>
      </c>
      <c r="D54" s="26">
        <v>0</v>
      </c>
    </row>
    <row r="55" spans="1:4">
      <c r="A55" s="19"/>
      <c r="C55" s="20" t="str">
        <f t="shared" si="0"/>
        <v/>
      </c>
      <c r="D55" s="26">
        <v>0</v>
      </c>
    </row>
    <row r="56" spans="1:4">
      <c r="A56" s="19"/>
      <c r="C56" s="20" t="str">
        <f t="shared" si="0"/>
        <v/>
      </c>
      <c r="D56" s="26">
        <v>0</v>
      </c>
    </row>
    <row r="57" spans="1:4">
      <c r="A57" s="19"/>
      <c r="C57" s="20" t="str">
        <f t="shared" si="0"/>
        <v/>
      </c>
      <c r="D57" s="26">
        <v>0</v>
      </c>
    </row>
    <row r="58" spans="1:4">
      <c r="A58" s="19"/>
      <c r="C58" s="20" t="str">
        <f t="shared" si="0"/>
        <v/>
      </c>
      <c r="D58" s="26">
        <v>0</v>
      </c>
    </row>
    <row r="59" spans="1:4">
      <c r="A59" s="19"/>
      <c r="C59" s="20" t="str">
        <f t="shared" si="0"/>
        <v/>
      </c>
      <c r="D59" s="26">
        <v>0</v>
      </c>
    </row>
    <row r="60" spans="1:4">
      <c r="A60" s="19"/>
      <c r="C60" s="20" t="str">
        <f t="shared" si="0"/>
        <v/>
      </c>
      <c r="D60" s="26">
        <v>0</v>
      </c>
    </row>
    <row r="61" spans="1:4">
      <c r="A61" s="19"/>
      <c r="C61" s="20" t="str">
        <f t="shared" si="0"/>
        <v/>
      </c>
      <c r="D61" s="26">
        <v>0</v>
      </c>
    </row>
    <row r="62" spans="1:4">
      <c r="A62" s="19"/>
      <c r="C62" s="20" t="str">
        <f t="shared" si="0"/>
        <v/>
      </c>
      <c r="D62" s="26">
        <v>0</v>
      </c>
    </row>
    <row r="63" spans="1:4">
      <c r="A63" s="19"/>
      <c r="C63" s="20" t="str">
        <f t="shared" si="0"/>
        <v/>
      </c>
      <c r="D63" s="26">
        <v>0</v>
      </c>
    </row>
    <row r="64" spans="1:4">
      <c r="A64" s="19"/>
      <c r="C64" s="20" t="str">
        <f t="shared" si="0"/>
        <v/>
      </c>
      <c r="D64" s="26">
        <v>0</v>
      </c>
    </row>
    <row r="65" spans="1:4">
      <c r="A65" s="19"/>
      <c r="C65" s="20" t="str">
        <f t="shared" si="0"/>
        <v/>
      </c>
      <c r="D65" s="26">
        <v>0</v>
      </c>
    </row>
    <row r="66" spans="1:4">
      <c r="A66" s="19"/>
      <c r="C66" s="20" t="str">
        <f t="shared" si="0"/>
        <v/>
      </c>
      <c r="D66" s="26">
        <v>0</v>
      </c>
    </row>
    <row r="67" spans="1:4">
      <c r="A67" s="19"/>
      <c r="C67" s="20" t="str">
        <f t="shared" ref="C67:C97" si="1">IF(AND(A67&lt;&gt;"",B67&lt;&gt;""),IF(A67&lt;0.002,"NG Zero Set",IF(B67-A67-D67&lt;0.27,"Badmark",B67-A67-D67)),"")</f>
        <v/>
      </c>
      <c r="D67" s="26">
        <v>0</v>
      </c>
    </row>
    <row r="68" spans="1:4">
      <c r="A68" s="19"/>
      <c r="C68" s="20" t="str">
        <f t="shared" si="1"/>
        <v/>
      </c>
      <c r="D68" s="26">
        <v>0</v>
      </c>
    </row>
    <row r="69" spans="1:4">
      <c r="A69" s="19"/>
      <c r="C69" s="20" t="str">
        <f t="shared" si="1"/>
        <v/>
      </c>
      <c r="D69" s="26">
        <v>0</v>
      </c>
    </row>
    <row r="70" spans="1:4">
      <c r="A70" s="19"/>
      <c r="C70" s="20" t="str">
        <f t="shared" si="1"/>
        <v/>
      </c>
      <c r="D70" s="26">
        <v>0</v>
      </c>
    </row>
    <row r="71" spans="1:4">
      <c r="A71" s="19"/>
      <c r="C71" s="20" t="str">
        <f t="shared" si="1"/>
        <v/>
      </c>
      <c r="D71" s="26">
        <v>0</v>
      </c>
    </row>
    <row r="72" spans="1:4">
      <c r="A72" s="19"/>
      <c r="C72" s="20" t="str">
        <f t="shared" si="1"/>
        <v/>
      </c>
      <c r="D72" s="26">
        <v>0</v>
      </c>
    </row>
    <row r="73" spans="1:4">
      <c r="A73" s="19"/>
      <c r="C73" s="20" t="str">
        <f t="shared" si="1"/>
        <v/>
      </c>
      <c r="D73" s="26">
        <v>0</v>
      </c>
    </row>
    <row r="74" spans="1:4">
      <c r="A74" s="19"/>
      <c r="C74" s="20" t="str">
        <f t="shared" si="1"/>
        <v/>
      </c>
      <c r="D74" s="26">
        <v>0</v>
      </c>
    </row>
    <row r="75" spans="1:4">
      <c r="A75" s="19"/>
      <c r="C75" s="20" t="str">
        <f t="shared" si="1"/>
        <v/>
      </c>
      <c r="D75" s="26">
        <v>0</v>
      </c>
    </row>
    <row r="76" spans="1:4">
      <c r="A76" s="19"/>
      <c r="C76" s="20" t="str">
        <f t="shared" si="1"/>
        <v/>
      </c>
      <c r="D76" s="26">
        <v>0</v>
      </c>
    </row>
    <row r="77" spans="1:4">
      <c r="A77" s="19"/>
      <c r="C77" s="20" t="str">
        <f t="shared" si="1"/>
        <v/>
      </c>
      <c r="D77" s="26">
        <v>0</v>
      </c>
    </row>
    <row r="78" spans="1:4">
      <c r="A78" s="19"/>
      <c r="C78" s="20" t="str">
        <f t="shared" si="1"/>
        <v/>
      </c>
      <c r="D78" s="26">
        <v>0</v>
      </c>
    </row>
    <row r="79" spans="1:4">
      <c r="A79" s="19"/>
      <c r="C79" s="20" t="str">
        <f t="shared" si="1"/>
        <v/>
      </c>
      <c r="D79" s="26">
        <v>0</v>
      </c>
    </row>
    <row r="80" spans="1:4">
      <c r="A80" s="19"/>
      <c r="C80" s="20" t="str">
        <f t="shared" si="1"/>
        <v/>
      </c>
      <c r="D80" s="26">
        <v>0</v>
      </c>
    </row>
    <row r="81" spans="1:4">
      <c r="A81" s="19"/>
      <c r="C81" s="20" t="str">
        <f t="shared" si="1"/>
        <v/>
      </c>
      <c r="D81" s="26">
        <v>0</v>
      </c>
    </row>
    <row r="82" spans="1:4">
      <c r="A82" s="19"/>
      <c r="C82" s="20" t="str">
        <f t="shared" si="1"/>
        <v/>
      </c>
      <c r="D82" s="26">
        <v>0</v>
      </c>
    </row>
    <row r="83" spans="1:4">
      <c r="A83" s="19"/>
      <c r="C83" s="20" t="str">
        <f t="shared" si="1"/>
        <v/>
      </c>
      <c r="D83" s="26">
        <v>0</v>
      </c>
    </row>
    <row r="84" spans="1:4">
      <c r="A84" s="19"/>
      <c r="C84" s="20" t="str">
        <f t="shared" si="1"/>
        <v/>
      </c>
      <c r="D84" s="26">
        <v>0</v>
      </c>
    </row>
    <row r="85" spans="1:4">
      <c r="A85" s="19"/>
      <c r="C85" s="20" t="str">
        <f t="shared" si="1"/>
        <v/>
      </c>
      <c r="D85" s="26">
        <v>0</v>
      </c>
    </row>
    <row r="86" spans="1:4">
      <c r="A86" s="19"/>
      <c r="C86" s="20" t="str">
        <f t="shared" si="1"/>
        <v/>
      </c>
      <c r="D86" s="26">
        <v>0</v>
      </c>
    </row>
    <row r="87" spans="1:4">
      <c r="A87" s="19"/>
      <c r="C87" s="20" t="str">
        <f t="shared" si="1"/>
        <v/>
      </c>
      <c r="D87" s="26">
        <v>0</v>
      </c>
    </row>
    <row r="88" spans="1:4">
      <c r="A88" s="19"/>
      <c r="C88" s="20" t="str">
        <f t="shared" si="1"/>
        <v/>
      </c>
      <c r="D88" s="26">
        <v>0</v>
      </c>
    </row>
    <row r="89" spans="1:4">
      <c r="A89" s="19"/>
      <c r="C89" s="20" t="str">
        <f t="shared" si="1"/>
        <v/>
      </c>
      <c r="D89" s="26">
        <v>0</v>
      </c>
    </row>
    <row r="90" spans="1:4">
      <c r="A90" s="19"/>
      <c r="C90" s="20" t="str">
        <f t="shared" si="1"/>
        <v/>
      </c>
      <c r="D90" s="26">
        <v>0</v>
      </c>
    </row>
    <row r="91" spans="1:4">
      <c r="A91" s="19"/>
      <c r="C91" s="20" t="str">
        <f t="shared" si="1"/>
        <v/>
      </c>
      <c r="D91" s="26">
        <v>0</v>
      </c>
    </row>
    <row r="92" spans="1:4">
      <c r="A92" s="19"/>
      <c r="C92" s="20" t="str">
        <f t="shared" si="1"/>
        <v/>
      </c>
      <c r="D92" s="26">
        <v>0</v>
      </c>
    </row>
    <row r="93" spans="1:4">
      <c r="A93" s="19"/>
      <c r="C93" s="20" t="str">
        <f t="shared" si="1"/>
        <v/>
      </c>
      <c r="D93" s="26">
        <v>0</v>
      </c>
    </row>
    <row r="94" spans="1:4">
      <c r="A94" s="19"/>
      <c r="C94" s="20" t="str">
        <f t="shared" si="1"/>
        <v/>
      </c>
      <c r="D94" s="26">
        <v>0</v>
      </c>
    </row>
    <row r="95" spans="1:4">
      <c r="A95" s="19"/>
      <c r="C95" s="20" t="str">
        <f t="shared" si="1"/>
        <v/>
      </c>
      <c r="D95" s="26">
        <v>0</v>
      </c>
    </row>
    <row r="96" spans="1:4">
      <c r="A96" s="19"/>
      <c r="C96" s="20" t="str">
        <f t="shared" si="1"/>
        <v/>
      </c>
      <c r="D96" s="26">
        <v>0</v>
      </c>
    </row>
    <row r="97" spans="1:4">
      <c r="A97" s="19"/>
      <c r="C97" s="20" t="str">
        <f t="shared" si="1"/>
        <v/>
      </c>
      <c r="D97" s="26">
        <v>0</v>
      </c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GT2" activePane="bottomRight" state="frozen"/>
      <selection pane="topRight" activeCell="B1" sqref="B1"/>
      <selection pane="bottomLeft" activeCell="A2" sqref="A2"/>
      <selection pane="bottomRight" activeCell="GZ2" sqref="GZ2:JS2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377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225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419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226</v>
      </c>
      <c r="CAN1" s="103" t="s">
        <v>227</v>
      </c>
      <c r="CAO1" s="103" t="s">
        <v>286</v>
      </c>
      <c r="CAP1" s="103" t="s">
        <v>317</v>
      </c>
      <c r="CAQ1" s="103" t="s">
        <v>318</v>
      </c>
      <c r="CAR1" s="103" t="s">
        <v>228</v>
      </c>
      <c r="CAS1" s="103" t="s">
        <v>229</v>
      </c>
      <c r="CAT1" s="103" t="s">
        <v>287</v>
      </c>
      <c r="CAU1" s="103" t="s">
        <v>319</v>
      </c>
      <c r="CAV1" s="103" t="s">
        <v>320</v>
      </c>
      <c r="CAW1" s="103" t="s">
        <v>230</v>
      </c>
      <c r="CAX1" s="103" t="s">
        <v>231</v>
      </c>
      <c r="CAY1" s="103" t="s">
        <v>288</v>
      </c>
      <c r="CAZ1" s="103" t="s">
        <v>321</v>
      </c>
      <c r="CBA1" s="103" t="s">
        <v>322</v>
      </c>
      <c r="CBB1" s="103" t="s">
        <v>232</v>
      </c>
      <c r="CBC1" s="103" t="s">
        <v>233</v>
      </c>
      <c r="CBD1" s="103" t="s">
        <v>289</v>
      </c>
      <c r="CBE1" s="103" t="s">
        <v>323</v>
      </c>
      <c r="CBF1" s="103" t="s">
        <v>324</v>
      </c>
      <c r="CBG1" s="103" t="s">
        <v>234</v>
      </c>
      <c r="CBH1" s="103" t="s">
        <v>235</v>
      </c>
      <c r="CBI1" s="103" t="s">
        <v>290</v>
      </c>
      <c r="CBJ1" s="103" t="s">
        <v>325</v>
      </c>
      <c r="CBK1" s="103" t="s">
        <v>326</v>
      </c>
      <c r="CBL1" s="103" t="s">
        <v>236</v>
      </c>
      <c r="CBM1" s="103" t="s">
        <v>237</v>
      </c>
      <c r="CBN1" s="103" t="s">
        <v>291</v>
      </c>
      <c r="CBO1" s="103" t="s">
        <v>327</v>
      </c>
      <c r="CBP1" s="103" t="s">
        <v>328</v>
      </c>
      <c r="CBQ1" s="103" t="s">
        <v>238</v>
      </c>
      <c r="CBR1" s="103" t="s">
        <v>239</v>
      </c>
      <c r="CBS1" s="103" t="s">
        <v>292</v>
      </c>
      <c r="CBT1" s="103" t="s">
        <v>329</v>
      </c>
      <c r="CBU1" s="103" t="s">
        <v>330</v>
      </c>
      <c r="CBV1" s="103" t="s">
        <v>240</v>
      </c>
      <c r="CBW1" s="103" t="s">
        <v>241</v>
      </c>
      <c r="CBX1" s="103" t="s">
        <v>293</v>
      </c>
      <c r="CBY1" s="103" t="s">
        <v>331</v>
      </c>
      <c r="CBZ1" s="103" t="s">
        <v>332</v>
      </c>
      <c r="CCA1" s="103" t="s">
        <v>242</v>
      </c>
      <c r="CCB1" s="103" t="s">
        <v>243</v>
      </c>
      <c r="CCC1" s="103" t="s">
        <v>294</v>
      </c>
      <c r="CCD1" s="103" t="s">
        <v>333</v>
      </c>
      <c r="CCE1" s="103" t="s">
        <v>334</v>
      </c>
      <c r="CCF1" s="103" t="s">
        <v>244</v>
      </c>
      <c r="CCG1" s="103" t="s">
        <v>245</v>
      </c>
      <c r="CCH1" s="103" t="s">
        <v>295</v>
      </c>
      <c r="CCI1" s="103" t="s">
        <v>335</v>
      </c>
      <c r="CCJ1" s="103" t="s">
        <v>336</v>
      </c>
      <c r="CCK1" s="103" t="s">
        <v>246</v>
      </c>
      <c r="CCL1" s="103" t="s">
        <v>247</v>
      </c>
      <c r="CCM1" s="103" t="s">
        <v>296</v>
      </c>
      <c r="CCN1" s="103" t="s">
        <v>337</v>
      </c>
      <c r="CCO1" s="103" t="s">
        <v>338</v>
      </c>
      <c r="CCP1" s="103" t="s">
        <v>248</v>
      </c>
      <c r="CCQ1" s="103" t="s">
        <v>249</v>
      </c>
      <c r="CCR1" s="103" t="s">
        <v>297</v>
      </c>
      <c r="CCS1" s="103" t="s">
        <v>339</v>
      </c>
      <c r="CCT1" s="103" t="s">
        <v>340</v>
      </c>
      <c r="CCU1" s="103" t="s">
        <v>250</v>
      </c>
      <c r="CCV1" s="103" t="s">
        <v>251</v>
      </c>
      <c r="CCW1" s="103" t="s">
        <v>298</v>
      </c>
      <c r="CCX1" s="103" t="s">
        <v>341</v>
      </c>
      <c r="CCY1" s="103" t="s">
        <v>342</v>
      </c>
      <c r="CCZ1" s="103" t="s">
        <v>252</v>
      </c>
      <c r="CDA1" s="103" t="s">
        <v>253</v>
      </c>
      <c r="CDB1" s="103" t="s">
        <v>299</v>
      </c>
      <c r="CDC1" s="103" t="s">
        <v>343</v>
      </c>
      <c r="CDD1" s="103" t="s">
        <v>344</v>
      </c>
      <c r="CDE1" s="103" t="s">
        <v>254</v>
      </c>
      <c r="CDF1" s="103" t="s">
        <v>255</v>
      </c>
      <c r="CDG1" s="103" t="s">
        <v>300</v>
      </c>
      <c r="CDH1" s="103" t="s">
        <v>345</v>
      </c>
      <c r="CDI1" s="103" t="s">
        <v>346</v>
      </c>
      <c r="CDJ1" s="103" t="s">
        <v>256</v>
      </c>
      <c r="CDK1" s="103" t="s">
        <v>257</v>
      </c>
      <c r="CDL1" s="103" t="s">
        <v>301</v>
      </c>
      <c r="CDM1" s="103" t="s">
        <v>347</v>
      </c>
      <c r="CDN1" s="103" t="s">
        <v>348</v>
      </c>
      <c r="CDO1" s="103" t="s">
        <v>258</v>
      </c>
      <c r="CDP1" s="103" t="s">
        <v>259</v>
      </c>
      <c r="CDQ1" s="103" t="s">
        <v>302</v>
      </c>
      <c r="CDR1" s="103" t="s">
        <v>349</v>
      </c>
      <c r="CDS1" s="103" t="s">
        <v>350</v>
      </c>
      <c r="CDT1" s="103" t="s">
        <v>260</v>
      </c>
      <c r="CDU1" s="103" t="s">
        <v>261</v>
      </c>
      <c r="CDV1" s="103" t="s">
        <v>303</v>
      </c>
      <c r="CDW1" s="103" t="s">
        <v>351</v>
      </c>
      <c r="CDX1" s="103" t="s">
        <v>352</v>
      </c>
      <c r="CDY1" s="103" t="s">
        <v>262</v>
      </c>
      <c r="CDZ1" s="103" t="s">
        <v>263</v>
      </c>
      <c r="CEA1" s="103" t="s">
        <v>304</v>
      </c>
      <c r="CEB1" s="103" t="s">
        <v>353</v>
      </c>
      <c r="CEC1" s="103" t="s">
        <v>354</v>
      </c>
      <c r="CED1" s="103" t="s">
        <v>264</v>
      </c>
      <c r="CEE1" s="103" t="s">
        <v>265</v>
      </c>
      <c r="CEF1" s="103" t="s">
        <v>305</v>
      </c>
      <c r="CEG1" s="103" t="s">
        <v>355</v>
      </c>
      <c r="CEH1" s="103" t="s">
        <v>356</v>
      </c>
      <c r="CEI1" s="103" t="s">
        <v>266</v>
      </c>
      <c r="CEJ1" s="103" t="s">
        <v>267</v>
      </c>
      <c r="CEK1" s="103" t="s">
        <v>306</v>
      </c>
      <c r="CEL1" s="103" t="s">
        <v>357</v>
      </c>
      <c r="CEM1" s="103" t="s">
        <v>358</v>
      </c>
      <c r="CEN1" s="103" t="s">
        <v>268</v>
      </c>
      <c r="CEO1" s="103" t="s">
        <v>269</v>
      </c>
      <c r="CEP1" s="103" t="s">
        <v>307</v>
      </c>
      <c r="CEQ1" s="103" t="s">
        <v>359</v>
      </c>
      <c r="CER1" s="103" t="s">
        <v>360</v>
      </c>
      <c r="CES1" s="103" t="s">
        <v>270</v>
      </c>
      <c r="CET1" s="103" t="s">
        <v>271</v>
      </c>
      <c r="CEU1" s="103" t="s">
        <v>308</v>
      </c>
      <c r="CEV1" s="103" t="s">
        <v>361</v>
      </c>
      <c r="CEW1" s="103" t="s">
        <v>362</v>
      </c>
      <c r="CEX1" s="103" t="s">
        <v>272</v>
      </c>
      <c r="CEY1" s="103" t="s">
        <v>273</v>
      </c>
      <c r="CEZ1" s="103" t="s">
        <v>309</v>
      </c>
      <c r="CFA1" s="103" t="s">
        <v>363</v>
      </c>
      <c r="CFB1" s="103" t="s">
        <v>364</v>
      </c>
      <c r="CFC1" s="103" t="s">
        <v>274</v>
      </c>
      <c r="CFD1" s="103" t="s">
        <v>275</v>
      </c>
      <c r="CFE1" s="103" t="s">
        <v>310</v>
      </c>
      <c r="CFF1" s="103" t="s">
        <v>365</v>
      </c>
      <c r="CFG1" s="103" t="s">
        <v>366</v>
      </c>
      <c r="CFH1" s="103" t="s">
        <v>276</v>
      </c>
      <c r="CFI1" s="103" t="s">
        <v>277</v>
      </c>
      <c r="CFJ1" s="103" t="s">
        <v>311</v>
      </c>
      <c r="CFK1" s="103" t="s">
        <v>367</v>
      </c>
      <c r="CFL1" s="103" t="s">
        <v>368</v>
      </c>
      <c r="CFM1" s="103" t="s">
        <v>278</v>
      </c>
      <c r="CFN1" s="103" t="s">
        <v>279</v>
      </c>
      <c r="CFO1" s="103" t="s">
        <v>312</v>
      </c>
      <c r="CFP1" s="103" t="s">
        <v>369</v>
      </c>
      <c r="CFQ1" s="103" t="s">
        <v>370</v>
      </c>
      <c r="CFR1" s="103" t="s">
        <v>280</v>
      </c>
      <c r="CFS1" s="103" t="s">
        <v>281</v>
      </c>
      <c r="CFT1" s="103" t="s">
        <v>313</v>
      </c>
      <c r="CFU1" s="103" t="s">
        <v>371</v>
      </c>
      <c r="CFV1" s="103" t="s">
        <v>372</v>
      </c>
      <c r="CFW1" s="103" t="s">
        <v>282</v>
      </c>
      <c r="CFX1" s="103" t="s">
        <v>283</v>
      </c>
      <c r="CFY1" s="103" t="s">
        <v>314</v>
      </c>
      <c r="CFZ1" s="103" t="s">
        <v>373</v>
      </c>
      <c r="CGA1" s="103" t="s">
        <v>374</v>
      </c>
      <c r="CGB1" s="103" t="s">
        <v>284</v>
      </c>
      <c r="CGC1" s="103" t="s">
        <v>285</v>
      </c>
      <c r="CGD1" s="103" t="s">
        <v>315</v>
      </c>
      <c r="CGE1" s="103" t="s">
        <v>375</v>
      </c>
      <c r="CGF1" s="103" t="s">
        <v>376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3</v>
      </c>
      <c r="C2" s="106">
        <v>1</v>
      </c>
      <c r="D2" s="106">
        <v>1</v>
      </c>
      <c r="E2" s="106">
        <v>24</v>
      </c>
      <c r="F2" s="106" t="s">
        <v>423</v>
      </c>
      <c r="GY2" s="110" t="s">
        <v>499</v>
      </c>
      <c r="GZ2" s="108">
        <v>1</v>
      </c>
      <c r="HA2" s="108">
        <v>1</v>
      </c>
      <c r="HB2" s="108">
        <v>1</v>
      </c>
      <c r="HC2" s="108">
        <v>1</v>
      </c>
      <c r="HD2" s="108">
        <v>1</v>
      </c>
      <c r="HE2" s="108">
        <v>1</v>
      </c>
      <c r="HF2" s="108">
        <v>1</v>
      </c>
      <c r="HG2" s="108">
        <v>1</v>
      </c>
      <c r="HH2" s="108">
        <v>1</v>
      </c>
      <c r="HI2" s="108">
        <v>1</v>
      </c>
      <c r="HJ2" s="108">
        <v>1</v>
      </c>
      <c r="HK2" s="108">
        <v>1</v>
      </c>
      <c r="HL2" s="108">
        <v>1</v>
      </c>
      <c r="HM2" s="108">
        <v>1</v>
      </c>
      <c r="HN2" s="108">
        <v>1</v>
      </c>
      <c r="HO2" s="108">
        <v>1</v>
      </c>
      <c r="HP2" s="108">
        <v>1</v>
      </c>
      <c r="HQ2" s="108">
        <v>1</v>
      </c>
      <c r="HR2" s="108">
        <v>1</v>
      </c>
      <c r="HS2" s="108">
        <v>1</v>
      </c>
      <c r="HT2" s="108">
        <v>1</v>
      </c>
      <c r="HU2" s="108">
        <v>1</v>
      </c>
      <c r="HV2" s="108">
        <v>1</v>
      </c>
      <c r="HW2" s="108">
        <v>1</v>
      </c>
      <c r="HX2" s="108">
        <v>1</v>
      </c>
      <c r="HY2" s="108">
        <v>1</v>
      </c>
      <c r="HZ2" s="108">
        <v>1</v>
      </c>
      <c r="IA2" s="108">
        <v>1</v>
      </c>
      <c r="IB2" s="108">
        <v>1</v>
      </c>
      <c r="IC2" s="108">
        <v>1</v>
      </c>
      <c r="ID2" s="108">
        <v>1</v>
      </c>
      <c r="IE2" s="108">
        <v>1</v>
      </c>
      <c r="IF2" s="108">
        <v>1</v>
      </c>
      <c r="IG2" s="108">
        <v>1</v>
      </c>
      <c r="IH2" s="108">
        <v>1</v>
      </c>
      <c r="II2" s="108">
        <v>1</v>
      </c>
      <c r="IJ2" s="108">
        <v>1</v>
      </c>
      <c r="IK2" s="108">
        <v>1</v>
      </c>
      <c r="IL2" s="108">
        <v>1</v>
      </c>
      <c r="IM2" s="108">
        <v>1</v>
      </c>
      <c r="IN2" s="108">
        <v>1</v>
      </c>
      <c r="IO2" s="108">
        <v>1</v>
      </c>
      <c r="IP2" s="108">
        <v>1</v>
      </c>
      <c r="IQ2" s="108">
        <v>1</v>
      </c>
      <c r="IR2" s="108">
        <v>1</v>
      </c>
      <c r="IS2" s="108">
        <v>1</v>
      </c>
      <c r="IT2" s="108">
        <v>1</v>
      </c>
      <c r="IU2" s="108">
        <v>1</v>
      </c>
      <c r="IV2" s="108">
        <v>1</v>
      </c>
      <c r="IW2" s="108">
        <v>1</v>
      </c>
      <c r="IX2" s="108">
        <v>1</v>
      </c>
      <c r="IY2" s="108">
        <v>1</v>
      </c>
      <c r="IZ2" s="108">
        <v>1</v>
      </c>
      <c r="JA2" s="108">
        <v>1</v>
      </c>
      <c r="JB2" s="108">
        <v>1</v>
      </c>
      <c r="JC2" s="108">
        <v>1</v>
      </c>
      <c r="JD2" s="108">
        <v>1</v>
      </c>
      <c r="JE2" s="108">
        <v>1</v>
      </c>
      <c r="JF2" s="108">
        <v>1</v>
      </c>
      <c r="JG2" s="108">
        <v>1</v>
      </c>
      <c r="JH2" s="108">
        <v>1</v>
      </c>
      <c r="JI2" s="108">
        <v>1</v>
      </c>
      <c r="JJ2" s="108">
        <v>1</v>
      </c>
      <c r="JK2" s="108">
        <v>1</v>
      </c>
      <c r="JL2" s="108">
        <v>1</v>
      </c>
      <c r="JM2" s="108">
        <v>1</v>
      </c>
      <c r="JN2" s="108">
        <v>1</v>
      </c>
      <c r="JO2" s="108">
        <v>1</v>
      </c>
      <c r="JP2" s="108">
        <v>1</v>
      </c>
      <c r="JQ2" s="108">
        <v>1</v>
      </c>
      <c r="JR2" s="108">
        <v>1</v>
      </c>
      <c r="JS2" s="108">
        <v>1</v>
      </c>
      <c r="BXV2" s="109">
        <v>1</v>
      </c>
      <c r="BXW2" s="108" t="s">
        <v>155</v>
      </c>
      <c r="BXX2" s="108" t="s">
        <v>154</v>
      </c>
      <c r="BYA2" s="103">
        <v>0</v>
      </c>
      <c r="BYX2" s="108">
        <v>2</v>
      </c>
      <c r="BYY2" s="108">
        <v>2</v>
      </c>
      <c r="BYZ2" s="108">
        <v>1</v>
      </c>
      <c r="CAD2" s="108" t="s">
        <v>426</v>
      </c>
      <c r="CAE2" s="108">
        <v>1</v>
      </c>
      <c r="CAF2" s="108">
        <v>1</v>
      </c>
      <c r="CAG2" s="108" t="s">
        <v>144</v>
      </c>
      <c r="CAH2" s="108" t="s">
        <v>493</v>
      </c>
      <c r="CAI2" s="108">
        <v>1</v>
      </c>
      <c r="CAJ2" s="108">
        <v>1</v>
      </c>
      <c r="CAK2" s="108">
        <v>1</v>
      </c>
      <c r="CAM2" s="108">
        <v>1</v>
      </c>
      <c r="CAN2" s="108">
        <v>2</v>
      </c>
      <c r="CAO2" s="108">
        <v>0.12</v>
      </c>
      <c r="CAP2" s="108">
        <v>0.01</v>
      </c>
      <c r="CAQ2" s="108">
        <v>8.8999999999999996E-2</v>
      </c>
      <c r="CAR2" s="108">
        <v>3</v>
      </c>
      <c r="CAS2" s="108">
        <v>3</v>
      </c>
      <c r="CAT2" s="108">
        <v>0.12</v>
      </c>
      <c r="CAU2" s="108">
        <v>0.01</v>
      </c>
      <c r="CAV2" s="108">
        <v>8.8999999999999996E-2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425</v>
      </c>
      <c r="B3" s="106">
        <v>2</v>
      </c>
      <c r="C3" s="106">
        <v>1</v>
      </c>
      <c r="D3" s="106">
        <v>1</v>
      </c>
      <c r="E3" s="106">
        <v>14</v>
      </c>
      <c r="F3" s="106" t="s">
        <v>423</v>
      </c>
      <c r="GY3" s="97" t="s">
        <v>492</v>
      </c>
      <c r="GZ3" s="108">
        <v>1111</v>
      </c>
      <c r="HA3" s="108">
        <v>1</v>
      </c>
      <c r="HB3" s="108">
        <v>3</v>
      </c>
      <c r="HC3" s="108">
        <v>2</v>
      </c>
      <c r="HD3" s="108">
        <v>2</v>
      </c>
      <c r="HE3" s="108">
        <v>2</v>
      </c>
      <c r="HF3" s="108">
        <v>2</v>
      </c>
      <c r="HG3" s="108">
        <v>2</v>
      </c>
      <c r="HH3" s="108">
        <v>2</v>
      </c>
      <c r="HI3" s="108">
        <v>2</v>
      </c>
      <c r="HJ3" s="108">
        <v>2</v>
      </c>
      <c r="HK3" s="108">
        <v>2</v>
      </c>
      <c r="HL3" s="108">
        <v>2</v>
      </c>
      <c r="HM3" s="108">
        <v>2</v>
      </c>
      <c r="HN3" s="108">
        <v>2</v>
      </c>
      <c r="HO3" s="108">
        <v>2</v>
      </c>
      <c r="HP3" s="108">
        <v>1</v>
      </c>
      <c r="HQ3" s="108">
        <v>3</v>
      </c>
      <c r="HR3" s="108">
        <v>2</v>
      </c>
      <c r="HS3" s="108">
        <v>1</v>
      </c>
      <c r="HT3" s="108">
        <v>2</v>
      </c>
      <c r="HU3" s="108">
        <v>2</v>
      </c>
      <c r="HV3" s="108">
        <v>2</v>
      </c>
      <c r="HW3" s="108">
        <v>2</v>
      </c>
      <c r="HX3" s="108">
        <v>2</v>
      </c>
      <c r="HY3" s="108">
        <v>2</v>
      </c>
      <c r="HZ3" s="108">
        <v>2</v>
      </c>
      <c r="IA3" s="108">
        <v>2</v>
      </c>
      <c r="BXV3" s="109">
        <v>1</v>
      </c>
      <c r="BXW3" s="108" t="s">
        <v>403</v>
      </c>
      <c r="BXX3" s="108" t="s">
        <v>154</v>
      </c>
      <c r="BYA3" s="103">
        <v>0</v>
      </c>
      <c r="BYX3" s="108">
        <v>2</v>
      </c>
      <c r="BYY3" s="108">
        <v>1</v>
      </c>
      <c r="BYZ3" s="108">
        <v>1</v>
      </c>
      <c r="CAM3" s="108">
        <v>1</v>
      </c>
      <c r="CAN3" s="108">
        <v>1</v>
      </c>
      <c r="CAO3" s="108">
        <v>0.24</v>
      </c>
      <c r="CAP3" s="108">
        <v>0</v>
      </c>
      <c r="CAQ3" s="108">
        <v>0.129</v>
      </c>
      <c r="CAR3" s="108">
        <v>2</v>
      </c>
      <c r="CAS3" s="108">
        <v>2</v>
      </c>
      <c r="CAT3" s="108">
        <v>0.26</v>
      </c>
      <c r="CAU3" s="108">
        <v>0</v>
      </c>
      <c r="CAV3" s="108">
        <v>0.129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489</v>
      </c>
      <c r="B4" s="106">
        <v>10</v>
      </c>
      <c r="C4" s="106">
        <v>3</v>
      </c>
      <c r="D4" s="106">
        <v>10</v>
      </c>
      <c r="E4" s="106">
        <v>4</v>
      </c>
      <c r="F4" s="106" t="s">
        <v>423</v>
      </c>
      <c r="G4" s="106"/>
      <c r="GY4" s="95"/>
      <c r="BXV4" s="109">
        <v>1</v>
      </c>
      <c r="BYA4" s="103">
        <v>0</v>
      </c>
      <c r="BYD4" s="103">
        <v>0</v>
      </c>
      <c r="BYG4" s="103">
        <v>0</v>
      </c>
      <c r="BYX4" s="108">
        <v>2</v>
      </c>
      <c r="BYY4" s="108">
        <v>5</v>
      </c>
      <c r="BYZ4" s="108">
        <v>5</v>
      </c>
      <c r="CAM4" s="108">
        <v>1</v>
      </c>
      <c r="CAN4" s="108">
        <v>5</v>
      </c>
      <c r="CAO4" s="108">
        <v>0.09</v>
      </c>
      <c r="CAP4" s="108">
        <v>0</v>
      </c>
      <c r="CAQ4" s="108">
        <v>0.09</v>
      </c>
      <c r="CAR4" s="108">
        <v>6</v>
      </c>
      <c r="CAS4" s="108">
        <v>10</v>
      </c>
      <c r="CAT4" s="108">
        <v>0.09</v>
      </c>
      <c r="CAU4" s="108">
        <v>0</v>
      </c>
      <c r="CAV4" s="108">
        <v>0.09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422</v>
      </c>
      <c r="B5" s="106">
        <v>4</v>
      </c>
      <c r="C5" s="106">
        <v>1</v>
      </c>
      <c r="D5" s="106">
        <v>1</v>
      </c>
      <c r="E5" s="106">
        <v>16</v>
      </c>
      <c r="F5" s="106" t="s">
        <v>423</v>
      </c>
      <c r="G5" s="106"/>
      <c r="GY5" s="95" t="s">
        <v>424</v>
      </c>
      <c r="GZ5" s="108">
        <v>0.41</v>
      </c>
      <c r="HA5" s="108">
        <v>0.41199999999999998</v>
      </c>
      <c r="HB5" s="108">
        <v>0.46700000000000003</v>
      </c>
      <c r="HC5" s="108">
        <v>0.46800000000000003</v>
      </c>
      <c r="HD5" s="108">
        <v>0.47099999999999997</v>
      </c>
      <c r="HE5" s="108">
        <v>0.47299999999999998</v>
      </c>
      <c r="HF5" s="108">
        <v>0.41</v>
      </c>
      <c r="HG5" s="108">
        <v>0.40600000000000003</v>
      </c>
      <c r="HH5" s="108">
        <v>0.41599999999999998</v>
      </c>
      <c r="HI5" s="108">
        <v>0.41199999999999998</v>
      </c>
      <c r="HJ5" s="108">
        <v>0.46700000000000003</v>
      </c>
      <c r="HK5" s="108">
        <v>0.46600000000000003</v>
      </c>
      <c r="HL5" s="108">
        <v>0.46700000000000003</v>
      </c>
      <c r="HM5" s="108">
        <v>0.46400000000000002</v>
      </c>
      <c r="HN5" s="108">
        <v>0.41299999999999998</v>
      </c>
      <c r="HO5" s="108">
        <v>0.41</v>
      </c>
      <c r="HP5" s="108">
        <v>0.41499999999999998</v>
      </c>
      <c r="HQ5" s="108">
        <v>0.41499999999999998</v>
      </c>
      <c r="HR5" s="108">
        <v>0.46400000000000002</v>
      </c>
      <c r="HS5" s="108">
        <v>0.46100000000000002</v>
      </c>
      <c r="HT5" s="108">
        <v>0.46300000000000002</v>
      </c>
      <c r="HU5" s="108">
        <v>0.46100000000000002</v>
      </c>
      <c r="HV5" s="108">
        <v>0.41199999999999998</v>
      </c>
      <c r="HW5" s="108">
        <v>0.41</v>
      </c>
      <c r="HX5" s="108">
        <v>0.41399999999999998</v>
      </c>
      <c r="HY5" s="108">
        <v>0.40899999999999997</v>
      </c>
      <c r="HZ5" s="108">
        <v>0.45900000000000002</v>
      </c>
      <c r="IA5" s="108">
        <v>0.45400000000000001</v>
      </c>
      <c r="IB5" s="108">
        <v>0.45400000000000001</v>
      </c>
      <c r="IC5" s="108">
        <v>0.45200000000000001</v>
      </c>
      <c r="ID5" s="108">
        <v>0.40699999999999997</v>
      </c>
      <c r="IE5" s="108">
        <v>0.40600000000000003</v>
      </c>
      <c r="IF5" s="108">
        <v>0.40500000000000003</v>
      </c>
      <c r="IG5" s="108">
        <v>0.39</v>
      </c>
      <c r="IH5" s="108">
        <v>0.42299999999999999</v>
      </c>
      <c r="II5" s="108">
        <v>0.42699999999999999</v>
      </c>
      <c r="IJ5" s="108">
        <v>0.432</v>
      </c>
      <c r="IK5" s="108">
        <v>0.42899999999999999</v>
      </c>
      <c r="IL5" s="108">
        <v>0.38900000000000001</v>
      </c>
      <c r="IM5" s="108">
        <v>0.38900000000000001</v>
      </c>
      <c r="IN5" s="108">
        <v>0.39500000000000002</v>
      </c>
      <c r="IO5" s="108">
        <v>0.39200000000000002</v>
      </c>
      <c r="IP5" s="108">
        <v>0.42499999999999999</v>
      </c>
      <c r="IQ5" s="108">
        <v>0.42599999999999999</v>
      </c>
      <c r="IR5" s="108">
        <v>0.432</v>
      </c>
      <c r="IS5" s="108">
        <v>0.42899999999999999</v>
      </c>
      <c r="IT5" s="108">
        <v>0.39400000000000002</v>
      </c>
      <c r="IU5" s="108">
        <v>0.38600000000000001</v>
      </c>
      <c r="IV5" s="108">
        <v>0.39700000000000002</v>
      </c>
      <c r="IW5" s="108">
        <v>0.39600000000000002</v>
      </c>
      <c r="IX5" s="108">
        <v>0.42799999999999999</v>
      </c>
      <c r="IY5" s="108">
        <v>0.42599999999999999</v>
      </c>
      <c r="IZ5" s="108">
        <v>0.44</v>
      </c>
      <c r="JA5" s="108">
        <v>0.439</v>
      </c>
      <c r="JB5" s="108">
        <v>0.39900000000000002</v>
      </c>
      <c r="JC5" s="108">
        <v>0.39600000000000002</v>
      </c>
      <c r="JD5" s="108">
        <v>0.40899999999999997</v>
      </c>
      <c r="JE5" s="108">
        <v>0.40200000000000002</v>
      </c>
      <c r="JF5" s="108">
        <v>0.434</v>
      </c>
      <c r="JG5" s="108">
        <v>0.434</v>
      </c>
      <c r="JH5" s="108">
        <v>0.442</v>
      </c>
      <c r="JI5" s="108">
        <v>0.44500000000000001</v>
      </c>
      <c r="JJ5" s="108">
        <v>0.40500000000000003</v>
      </c>
      <c r="JK5" s="108">
        <v>0.39900000000000002</v>
      </c>
      <c r="BXV5" s="109">
        <v>1</v>
      </c>
      <c r="BXW5" s="108" t="s">
        <v>403</v>
      </c>
      <c r="BXX5" s="108" t="s">
        <v>154</v>
      </c>
      <c r="BYA5" s="103">
        <v>0</v>
      </c>
      <c r="BYX5" s="108">
        <v>1</v>
      </c>
      <c r="BYY5" s="108">
        <v>4</v>
      </c>
      <c r="CAM5" s="108">
        <v>1</v>
      </c>
      <c r="CAN5" s="108">
        <v>4</v>
      </c>
      <c r="CAO5" s="108">
        <v>0.11</v>
      </c>
      <c r="CAP5" s="108">
        <v>0</v>
      </c>
      <c r="CAQ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427</v>
      </c>
      <c r="B6" s="106">
        <v>2</v>
      </c>
      <c r="C6" s="106">
        <v>2</v>
      </c>
      <c r="D6" s="106">
        <v>1</v>
      </c>
      <c r="E6" s="106">
        <v>12</v>
      </c>
      <c r="F6" s="106" t="s">
        <v>423</v>
      </c>
      <c r="GY6" s="95" t="s">
        <v>428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403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429</v>
      </c>
      <c r="B7" s="106">
        <v>4</v>
      </c>
      <c r="C7" s="106">
        <v>1</v>
      </c>
      <c r="D7" s="106">
        <v>1</v>
      </c>
      <c r="E7" s="106">
        <v>10</v>
      </c>
      <c r="F7" s="106" t="s">
        <v>423</v>
      </c>
      <c r="GY7" s="95" t="s">
        <v>428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403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430</v>
      </c>
      <c r="B8" s="106">
        <v>4</v>
      </c>
      <c r="C8" s="106">
        <v>1</v>
      </c>
      <c r="D8" s="106">
        <v>1</v>
      </c>
      <c r="E8" s="106">
        <v>20</v>
      </c>
      <c r="F8" s="106" t="s">
        <v>423</v>
      </c>
      <c r="GY8" s="95" t="s">
        <v>431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403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432</v>
      </c>
      <c r="B9" s="106">
        <v>2</v>
      </c>
      <c r="C9" s="106">
        <v>2</v>
      </c>
      <c r="D9" s="106">
        <v>2</v>
      </c>
      <c r="E9" s="106">
        <v>24</v>
      </c>
      <c r="F9" s="106" t="s">
        <v>423</v>
      </c>
      <c r="GY9" s="95" t="s">
        <v>433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403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434</v>
      </c>
      <c r="B10" s="106">
        <v>4</v>
      </c>
      <c r="C10" s="106">
        <v>1</v>
      </c>
      <c r="D10" s="106">
        <v>1</v>
      </c>
      <c r="E10" s="106">
        <v>20</v>
      </c>
      <c r="F10" s="106" t="s">
        <v>423</v>
      </c>
      <c r="GY10" s="95" t="s">
        <v>435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403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436</v>
      </c>
      <c r="B11" s="106">
        <v>4</v>
      </c>
      <c r="C11" s="106">
        <v>1</v>
      </c>
      <c r="D11" s="106">
        <v>3</v>
      </c>
      <c r="E11" s="106">
        <v>10</v>
      </c>
      <c r="F11" s="106" t="s">
        <v>423</v>
      </c>
      <c r="GY11" s="95" t="s">
        <v>437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438</v>
      </c>
      <c r="B12" s="106">
        <v>2</v>
      </c>
      <c r="C12" s="106">
        <v>1</v>
      </c>
      <c r="D12" s="106">
        <v>4</v>
      </c>
      <c r="E12" s="106">
        <v>3</v>
      </c>
      <c r="F12" s="106" t="s">
        <v>423</v>
      </c>
      <c r="GY12" s="95" t="s">
        <v>439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440</v>
      </c>
      <c r="B13" s="106">
        <v>4</v>
      </c>
      <c r="C13" s="106">
        <v>1</v>
      </c>
      <c r="D13" s="106">
        <v>8</v>
      </c>
      <c r="E13" s="106">
        <v>1</v>
      </c>
      <c r="F13" s="106" t="s">
        <v>423</v>
      </c>
      <c r="GY13" s="95" t="s">
        <v>441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442</v>
      </c>
      <c r="B14" s="106">
        <v>4</v>
      </c>
      <c r="C14" s="106">
        <v>1</v>
      </c>
      <c r="D14" s="106">
        <v>2</v>
      </c>
      <c r="E14" s="106">
        <v>9</v>
      </c>
      <c r="F14" s="106" t="s">
        <v>423</v>
      </c>
      <c r="GY14" s="95" t="s">
        <v>443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444</v>
      </c>
      <c r="B15" s="106">
        <v>4</v>
      </c>
      <c r="C15" s="106">
        <v>1</v>
      </c>
      <c r="D15" s="106">
        <v>2</v>
      </c>
      <c r="E15" s="106">
        <v>10</v>
      </c>
      <c r="F15" s="106" t="s">
        <v>445</v>
      </c>
      <c r="GY15" s="95" t="s">
        <v>446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390</v>
      </c>
      <c r="B16" s="106">
        <v>20</v>
      </c>
      <c r="C16" s="106">
        <v>1</v>
      </c>
      <c r="D16" s="106">
        <v>3</v>
      </c>
      <c r="E16" s="106">
        <v>10</v>
      </c>
      <c r="F16" s="106" t="s">
        <v>445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447</v>
      </c>
      <c r="B17" s="106">
        <v>4</v>
      </c>
      <c r="C17" s="106">
        <v>1</v>
      </c>
      <c r="D17" s="106">
        <v>6</v>
      </c>
      <c r="E17" s="106">
        <v>4</v>
      </c>
      <c r="F17" s="106" t="s">
        <v>445</v>
      </c>
      <c r="GY17" s="95" t="s">
        <v>404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448</v>
      </c>
      <c r="B18" s="106">
        <v>8</v>
      </c>
      <c r="C18" s="106">
        <v>1</v>
      </c>
      <c r="D18" s="106">
        <v>2</v>
      </c>
      <c r="E18" s="106">
        <v>5</v>
      </c>
      <c r="F18" s="106" t="s">
        <v>445</v>
      </c>
      <c r="GY18" s="95" t="s">
        <v>405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393</v>
      </c>
      <c r="B19" s="106">
        <v>17</v>
      </c>
      <c r="C19" s="106">
        <v>1</v>
      </c>
      <c r="D19" s="106">
        <v>2</v>
      </c>
      <c r="E19" s="106">
        <v>9</v>
      </c>
      <c r="F19" s="106" t="s">
        <v>423</v>
      </c>
      <c r="GY19" s="95" t="s">
        <v>404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449</v>
      </c>
      <c r="B20" s="106">
        <v>17</v>
      </c>
      <c r="C20" s="106">
        <v>1</v>
      </c>
      <c r="D20" s="106">
        <v>1</v>
      </c>
      <c r="E20" s="106">
        <v>10</v>
      </c>
      <c r="F20" s="106" t="s">
        <v>423</v>
      </c>
      <c r="GY20" s="95" t="s">
        <v>450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451</v>
      </c>
      <c r="B21" s="106">
        <v>3</v>
      </c>
      <c r="C21" s="106">
        <v>1</v>
      </c>
      <c r="D21" s="106">
        <v>1</v>
      </c>
      <c r="E21" s="106">
        <v>10</v>
      </c>
      <c r="F21" s="106" t="s">
        <v>423</v>
      </c>
      <c r="GY21" s="95" t="s">
        <v>450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452</v>
      </c>
      <c r="B22" s="106">
        <v>2</v>
      </c>
      <c r="C22" s="106">
        <v>1</v>
      </c>
      <c r="D22" s="106">
        <v>4</v>
      </c>
      <c r="E22" s="106">
        <v>12</v>
      </c>
      <c r="F22" s="106" t="s">
        <v>423</v>
      </c>
      <c r="GY22" s="95" t="s">
        <v>453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454</v>
      </c>
      <c r="B23" s="106">
        <v>7</v>
      </c>
      <c r="C23" s="106">
        <v>1</v>
      </c>
      <c r="D23" s="106">
        <v>4</v>
      </c>
      <c r="E23" s="106">
        <v>12</v>
      </c>
      <c r="F23" s="106" t="s">
        <v>423</v>
      </c>
      <c r="GY23" s="95" t="s">
        <v>455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456</v>
      </c>
      <c r="B24" s="106">
        <v>1</v>
      </c>
      <c r="C24" s="106">
        <v>2</v>
      </c>
      <c r="D24" s="106">
        <v>9</v>
      </c>
      <c r="E24" s="106">
        <v>4</v>
      </c>
      <c r="F24" s="106" t="s">
        <v>445</v>
      </c>
      <c r="GY24" s="95" t="s">
        <v>457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458</v>
      </c>
      <c r="B25" s="106">
        <v>2</v>
      </c>
      <c r="C25" s="106">
        <v>2</v>
      </c>
      <c r="D25" s="106">
        <v>5</v>
      </c>
      <c r="E25" s="106">
        <v>2</v>
      </c>
      <c r="F25" s="106" t="s">
        <v>445</v>
      </c>
      <c r="GY25" s="95" t="s">
        <v>457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459</v>
      </c>
      <c r="B26" s="106">
        <v>2</v>
      </c>
      <c r="C26" s="106">
        <v>1</v>
      </c>
      <c r="D26" s="106">
        <v>10</v>
      </c>
      <c r="E26" s="106">
        <v>12</v>
      </c>
      <c r="F26" s="106" t="s">
        <v>423</v>
      </c>
      <c r="GY26" s="95" t="s">
        <v>460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">
        <v>494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406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407</v>
      </c>
      <c r="ABE1" s="102" t="s">
        <v>418</v>
      </c>
      <c r="ABF1" s="102" t="s">
        <v>408</v>
      </c>
      <c r="ABG1" s="102" t="s">
        <v>409</v>
      </c>
      <c r="ABH1" s="102" t="s">
        <v>410</v>
      </c>
      <c r="ABI1" s="102" t="s">
        <v>411</v>
      </c>
      <c r="ABJ1" s="102" t="s">
        <v>412</v>
      </c>
      <c r="ABK1" s="102" t="s">
        <v>413</v>
      </c>
      <c r="ABL1" s="102" t="s">
        <v>414</v>
      </c>
      <c r="ABM1" s="102" t="s">
        <v>415</v>
      </c>
      <c r="ABN1" s="102" t="s">
        <v>416</v>
      </c>
      <c r="ABO1" s="102" t="s">
        <v>417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156</v>
      </c>
      <c r="B2" s="98" t="s">
        <v>400</v>
      </c>
      <c r="C2" s="99">
        <v>45017.625079999998</v>
      </c>
      <c r="D2" s="98">
        <v>12</v>
      </c>
      <c r="E2" s="98">
        <v>1</v>
      </c>
      <c r="F2" s="98">
        <v>7</v>
      </c>
      <c r="G2" s="98">
        <v>12</v>
      </c>
      <c r="H2" s="104">
        <v>0.48</v>
      </c>
      <c r="I2" s="104">
        <v>0.54</v>
      </c>
      <c r="J2" s="104">
        <v>0.54</v>
      </c>
      <c r="K2" s="104">
        <v>0.88</v>
      </c>
      <c r="L2" s="104">
        <v>0.88</v>
      </c>
      <c r="M2" s="104">
        <v>0.88</v>
      </c>
      <c r="N2" s="104">
        <v>0.88</v>
      </c>
      <c r="T2" s="104">
        <v>0.42</v>
      </c>
      <c r="U2" s="104">
        <v>0.44</v>
      </c>
      <c r="V2" s="104">
        <v>0.44</v>
      </c>
      <c r="W2" s="104">
        <v>0.78</v>
      </c>
      <c r="X2" s="104">
        <v>0.78</v>
      </c>
      <c r="Y2" s="104">
        <v>0.78</v>
      </c>
      <c r="Z2" s="104">
        <v>0.78</v>
      </c>
      <c r="AF2" s="98" t="s">
        <v>380</v>
      </c>
      <c r="AG2" s="98" t="s">
        <v>401</v>
      </c>
      <c r="AH2" s="98" t="s">
        <v>402</v>
      </c>
      <c r="AI2" s="98" t="s">
        <v>382</v>
      </c>
      <c r="AJ2" s="98" t="s">
        <v>384</v>
      </c>
      <c r="AK2" s="98" t="s">
        <v>383</v>
      </c>
      <c r="AL2" s="98" t="s">
        <v>385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D2" s="98" t="s">
        <v>156</v>
      </c>
      <c r="BE2" s="101">
        <v>1</v>
      </c>
      <c r="BF2" s="101">
        <v>1</v>
      </c>
      <c r="BG2" s="101" t="s">
        <v>144</v>
      </c>
      <c r="BH2" s="101" t="s">
        <v>493</v>
      </c>
      <c r="BI2" s="101">
        <v>1</v>
      </c>
      <c r="BJ2" s="101">
        <v>1</v>
      </c>
      <c r="BK2" s="101">
        <v>1</v>
      </c>
      <c r="BL2" s="101">
        <v>4</v>
      </c>
      <c r="BM2" s="93" t="s">
        <v>190</v>
      </c>
      <c r="BN2" s="94" t="s">
        <v>495</v>
      </c>
      <c r="BO2" s="94" t="s">
        <v>191</v>
      </c>
      <c r="BP2" s="94"/>
      <c r="BQ2" s="98" t="s">
        <v>403</v>
      </c>
      <c r="CF2" s="98">
        <v>1</v>
      </c>
      <c r="CG2" s="98">
        <v>1</v>
      </c>
      <c r="CH2" s="98">
        <v>1</v>
      </c>
      <c r="CI2" s="98">
        <v>1</v>
      </c>
      <c r="CJ2" s="98">
        <v>1</v>
      </c>
      <c r="CS2" s="98">
        <v>1</v>
      </c>
      <c r="CT2" s="98">
        <v>1</v>
      </c>
      <c r="CU2" s="98">
        <v>1</v>
      </c>
      <c r="CV2" s="98">
        <v>1</v>
      </c>
      <c r="CW2" s="98">
        <v>1</v>
      </c>
      <c r="DF2" s="98">
        <v>1</v>
      </c>
      <c r="DG2" s="98">
        <v>1</v>
      </c>
      <c r="DH2" s="98">
        <v>1</v>
      </c>
      <c r="DI2" s="98">
        <v>1</v>
      </c>
      <c r="DJ2" s="98">
        <v>1</v>
      </c>
      <c r="DS2" s="98">
        <v>1</v>
      </c>
      <c r="DT2" s="98">
        <v>1</v>
      </c>
      <c r="DU2" s="98">
        <v>1</v>
      </c>
      <c r="DV2" s="98">
        <v>1</v>
      </c>
      <c r="DW2" s="98">
        <v>1</v>
      </c>
      <c r="EF2" s="98">
        <v>1</v>
      </c>
      <c r="EG2" s="98">
        <v>1</v>
      </c>
      <c r="EH2" s="98">
        <v>1</v>
      </c>
      <c r="EI2" s="98">
        <v>1</v>
      </c>
      <c r="EJ2" s="98">
        <v>1</v>
      </c>
      <c r="ES2" s="98">
        <v>1</v>
      </c>
      <c r="ET2" s="98">
        <v>1</v>
      </c>
      <c r="EU2" s="98">
        <v>1</v>
      </c>
      <c r="EV2" s="98">
        <v>1</v>
      </c>
      <c r="EW2" s="98">
        <v>1</v>
      </c>
      <c r="HT2" s="98" t="s">
        <v>155</v>
      </c>
      <c r="HU2" s="98" t="s">
        <v>498</v>
      </c>
      <c r="HV2" s="98" t="s">
        <v>154</v>
      </c>
      <c r="HW2" s="98">
        <v>1</v>
      </c>
      <c r="HX2" s="98">
        <v>1</v>
      </c>
      <c r="HY2" s="98">
        <v>1</v>
      </c>
      <c r="HZ2" s="98">
        <v>1</v>
      </c>
      <c r="IA2" s="98">
        <v>1</v>
      </c>
      <c r="IB2" s="98">
        <v>1</v>
      </c>
      <c r="IC2" s="98">
        <v>1</v>
      </c>
      <c r="ID2" s="98">
        <v>1</v>
      </c>
      <c r="IE2" s="98">
        <v>1</v>
      </c>
      <c r="IF2" s="98">
        <v>1</v>
      </c>
      <c r="IG2" s="98">
        <v>1</v>
      </c>
      <c r="IH2" s="98">
        <v>1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461</v>
      </c>
      <c r="B3" s="98" t="s">
        <v>379</v>
      </c>
      <c r="C3" s="99">
        <v>45568.30341</v>
      </c>
      <c r="D3" s="98">
        <v>3</v>
      </c>
      <c r="E3" s="98">
        <v>6</v>
      </c>
      <c r="F3" s="98">
        <v>5</v>
      </c>
      <c r="G3" s="98">
        <v>18</v>
      </c>
      <c r="H3" s="104">
        <v>0.59</v>
      </c>
      <c r="I3" s="104">
        <v>0.59</v>
      </c>
      <c r="J3" s="104">
        <v>0.59</v>
      </c>
      <c r="K3" s="104">
        <v>0.59</v>
      </c>
      <c r="L3" s="104">
        <v>0.64</v>
      </c>
      <c r="T3" s="104">
        <v>0.49</v>
      </c>
      <c r="U3" s="104">
        <v>0.49</v>
      </c>
      <c r="V3" s="104">
        <v>0.49</v>
      </c>
      <c r="W3" s="104">
        <v>0.49</v>
      </c>
      <c r="X3" s="104">
        <v>0.54</v>
      </c>
      <c r="AF3" s="98" t="s">
        <v>382</v>
      </c>
      <c r="AG3" s="98" t="s">
        <v>383</v>
      </c>
      <c r="AH3" s="98" t="s">
        <v>385</v>
      </c>
      <c r="AI3" s="98" t="s">
        <v>384</v>
      </c>
      <c r="AJ3" s="98" t="s">
        <v>380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502</v>
      </c>
      <c r="XFB3" s="105" t="s">
        <v>158</v>
      </c>
    </row>
    <row r="4" spans="1:743 16382:16384">
      <c r="A4" s="98" t="s">
        <v>462</v>
      </c>
      <c r="B4" s="98" t="s">
        <v>379</v>
      </c>
      <c r="C4" s="99">
        <v>45522.401729999998</v>
      </c>
      <c r="D4" s="98">
        <v>1</v>
      </c>
      <c r="E4" s="98">
        <v>16</v>
      </c>
      <c r="F4" s="98">
        <v>7</v>
      </c>
      <c r="G4" s="98">
        <v>16</v>
      </c>
      <c r="H4" s="104">
        <v>0.71</v>
      </c>
      <c r="I4" s="104">
        <v>0.42</v>
      </c>
      <c r="J4" s="104">
        <v>0.42</v>
      </c>
      <c r="K4" s="104">
        <v>0.46</v>
      </c>
      <c r="L4" s="104">
        <v>0.46</v>
      </c>
      <c r="M4" s="104">
        <v>0.71</v>
      </c>
      <c r="N4" s="104">
        <v>0.71</v>
      </c>
      <c r="T4" s="104">
        <v>0.65</v>
      </c>
      <c r="U4" s="104">
        <v>0.36</v>
      </c>
      <c r="V4" s="104">
        <v>0.36</v>
      </c>
      <c r="W4" s="104">
        <v>0.4</v>
      </c>
      <c r="X4" s="104">
        <v>0.4</v>
      </c>
      <c r="Y4" s="104">
        <v>0.65</v>
      </c>
      <c r="Z4" s="104">
        <v>0.65</v>
      </c>
      <c r="AF4" s="98" t="s">
        <v>388</v>
      </c>
      <c r="AG4" s="98" t="s">
        <v>382</v>
      </c>
      <c r="AH4" s="98" t="s">
        <v>384</v>
      </c>
      <c r="AI4" s="98" t="s">
        <v>383</v>
      </c>
      <c r="AJ4" s="98" t="s">
        <v>385</v>
      </c>
      <c r="AK4" s="98" t="s">
        <v>389</v>
      </c>
      <c r="AL4" s="98" t="s">
        <v>463</v>
      </c>
      <c r="AR4" s="98">
        <v>0</v>
      </c>
      <c r="AS4" s="98">
        <v>0</v>
      </c>
      <c r="AT4" s="98">
        <v>0</v>
      </c>
      <c r="AU4" s="98">
        <v>0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501</v>
      </c>
      <c r="XFB4" s="106"/>
      <c r="XFC4" s="106"/>
      <c r="XFD4" s="106"/>
    </row>
    <row r="5" spans="1:743 16382:16384">
      <c r="A5" s="98" t="s">
        <v>421</v>
      </c>
      <c r="B5" s="98" t="s">
        <v>400</v>
      </c>
      <c r="C5" s="99">
        <v>45517.842239999998</v>
      </c>
      <c r="D5" s="98">
        <v>3</v>
      </c>
      <c r="E5" s="98">
        <v>10</v>
      </c>
      <c r="F5" s="98">
        <v>4</v>
      </c>
      <c r="G5" s="98">
        <v>30</v>
      </c>
      <c r="H5" s="104">
        <v>1</v>
      </c>
      <c r="I5" s="104">
        <v>1</v>
      </c>
      <c r="J5" s="104">
        <v>1</v>
      </c>
      <c r="K5" s="104">
        <v>1</v>
      </c>
      <c r="T5" s="104">
        <v>0.5</v>
      </c>
      <c r="U5" s="104">
        <v>0.5</v>
      </c>
      <c r="V5" s="104">
        <v>0.5</v>
      </c>
      <c r="W5" s="104">
        <v>0.8</v>
      </c>
      <c r="AF5" s="98" t="s">
        <v>391</v>
      </c>
      <c r="AG5" s="98" t="s">
        <v>392</v>
      </c>
      <c r="AH5" s="98" t="s">
        <v>380</v>
      </c>
      <c r="AI5" s="98" t="s">
        <v>420</v>
      </c>
      <c r="AR5" s="98">
        <v>-0.1</v>
      </c>
      <c r="AS5" s="98">
        <v>-0.1</v>
      </c>
      <c r="AT5" s="98">
        <v>-0.1</v>
      </c>
      <c r="AU5" s="98">
        <v>-0.1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464</v>
      </c>
      <c r="B6" s="98" t="s">
        <v>379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380</v>
      </c>
      <c r="AG6" s="98" t="s">
        <v>382</v>
      </c>
      <c r="AH6" s="98" t="s">
        <v>384</v>
      </c>
      <c r="AI6" s="98" t="s">
        <v>391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465</v>
      </c>
      <c r="B7" s="98" t="s">
        <v>379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380</v>
      </c>
      <c r="AG7" s="98" t="s">
        <v>384</v>
      </c>
      <c r="AH7" s="98" t="s">
        <v>385</v>
      </c>
      <c r="AI7" s="98" t="s">
        <v>383</v>
      </c>
      <c r="AJ7" s="98" t="s">
        <v>382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466</v>
      </c>
      <c r="B8" s="98" t="s">
        <v>379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380</v>
      </c>
      <c r="AG8" s="98" t="s">
        <v>384</v>
      </c>
      <c r="AH8" s="98" t="s">
        <v>382</v>
      </c>
      <c r="AI8" s="98" t="s">
        <v>383</v>
      </c>
      <c r="AJ8" s="98" t="s">
        <v>385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467</v>
      </c>
      <c r="B9" s="98" t="s">
        <v>379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380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468</v>
      </c>
      <c r="B10" s="98" t="s">
        <v>379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380</v>
      </c>
      <c r="AG10" s="98" t="s">
        <v>392</v>
      </c>
      <c r="AH10" s="98" t="s">
        <v>383</v>
      </c>
      <c r="AI10" s="98" t="s">
        <v>385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469</v>
      </c>
      <c r="B11" s="98" t="s">
        <v>379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380</v>
      </c>
      <c r="AG11" s="98" t="s">
        <v>391</v>
      </c>
      <c r="AH11" s="98" t="s">
        <v>392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470</v>
      </c>
      <c r="B12" s="98" t="s">
        <v>379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380</v>
      </c>
      <c r="AG12" s="98" t="s">
        <v>391</v>
      </c>
      <c r="AH12" s="98" t="s">
        <v>392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471</v>
      </c>
      <c r="B13" s="98" t="s">
        <v>379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380</v>
      </c>
      <c r="AG13" s="98" t="s">
        <v>382</v>
      </c>
      <c r="AH13" s="98" t="s">
        <v>383</v>
      </c>
      <c r="AI13" s="98" t="s">
        <v>385</v>
      </c>
      <c r="AJ13" s="98" t="s">
        <v>384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213</v>
      </c>
      <c r="BN13" s="98" t="s">
        <v>214</v>
      </c>
      <c r="BO13" s="94" t="s">
        <v>191</v>
      </c>
    </row>
    <row r="14" spans="1:743 16382:16384">
      <c r="A14" s="98" t="s">
        <v>378</v>
      </c>
      <c r="B14" s="98" t="s">
        <v>379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380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  <c r="BM14" s="98" t="s">
        <v>496</v>
      </c>
      <c r="BN14" s="98" t="s">
        <v>497</v>
      </c>
      <c r="BO14" s="98" t="s">
        <v>194</v>
      </c>
    </row>
    <row r="15" spans="1:743 16382:16384">
      <c r="A15" s="98" t="s">
        <v>381</v>
      </c>
      <c r="B15" s="98" t="s">
        <v>379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382</v>
      </c>
      <c r="AG15" s="98" t="s">
        <v>383</v>
      </c>
      <c r="AH15" s="98" t="s">
        <v>384</v>
      </c>
      <c r="AI15" s="98" t="s">
        <v>385</v>
      </c>
      <c r="AJ15" s="98" t="s">
        <v>380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386</v>
      </c>
      <c r="B16" s="98" t="s">
        <v>379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380</v>
      </c>
      <c r="AG16" s="98" t="s">
        <v>383</v>
      </c>
      <c r="AH16" s="98" t="s">
        <v>385</v>
      </c>
      <c r="AI16" s="98" t="s">
        <v>382</v>
      </c>
      <c r="AJ16" s="98" t="s">
        <v>384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387</v>
      </c>
      <c r="B17" s="98" t="s">
        <v>379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388</v>
      </c>
      <c r="AG17" s="98" t="s">
        <v>389</v>
      </c>
      <c r="AH17" s="98" t="s">
        <v>383</v>
      </c>
      <c r="AI17" s="98" t="s">
        <v>385</v>
      </c>
      <c r="AJ17" s="98" t="s">
        <v>382</v>
      </c>
      <c r="AK17" s="98" t="s">
        <v>384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394</v>
      </c>
      <c r="B18" s="98" t="s">
        <v>379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391</v>
      </c>
      <c r="AG18" s="98" t="s">
        <v>392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395</v>
      </c>
      <c r="B19" s="98" t="s">
        <v>379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396</v>
      </c>
      <c r="AG19" s="98" t="s">
        <v>397</v>
      </c>
      <c r="AH19" s="98" t="s">
        <v>396</v>
      </c>
      <c r="AI19" s="98" t="s">
        <v>398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399</v>
      </c>
      <c r="B20" s="98" t="s">
        <v>379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380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472</v>
      </c>
      <c r="B21" s="98" t="s">
        <v>379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388</v>
      </c>
      <c r="AG21" s="98" t="s">
        <v>382</v>
      </c>
      <c r="AH21" s="98" t="s">
        <v>384</v>
      </c>
      <c r="AI21" s="98" t="s">
        <v>383</v>
      </c>
      <c r="AJ21" s="98" t="s">
        <v>385</v>
      </c>
      <c r="AK21" s="98" t="s">
        <v>389</v>
      </c>
      <c r="AL21" s="98" t="s">
        <v>463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473</v>
      </c>
      <c r="B22" s="98" t="s">
        <v>379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380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474</v>
      </c>
      <c r="B23" s="98" t="s">
        <v>379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380</v>
      </c>
      <c r="AG23" s="98" t="s">
        <v>383</v>
      </c>
      <c r="AH23" s="98" t="s">
        <v>385</v>
      </c>
      <c r="AI23" s="98" t="s">
        <v>382</v>
      </c>
      <c r="AJ23" s="98" t="s">
        <v>384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475</v>
      </c>
      <c r="B24" s="98" t="s">
        <v>379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380</v>
      </c>
      <c r="AG24" s="98" t="s">
        <v>391</v>
      </c>
      <c r="AH24" s="98" t="s">
        <v>392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476</v>
      </c>
      <c r="B25" s="98" t="s">
        <v>379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392</v>
      </c>
      <c r="AG25" s="98" t="s">
        <v>385</v>
      </c>
      <c r="AH25" s="98" t="s">
        <v>383</v>
      </c>
      <c r="AI25" s="98" t="s">
        <v>380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477</v>
      </c>
      <c r="B26" s="98" t="s">
        <v>379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389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478</v>
      </c>
      <c r="B27" s="98" t="s">
        <v>379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380</v>
      </c>
      <c r="AG27" s="98" t="s">
        <v>382</v>
      </c>
      <c r="AH27" s="98" t="s">
        <v>383</v>
      </c>
      <c r="AI27" s="98" t="s">
        <v>385</v>
      </c>
      <c r="AJ27" s="98" t="s">
        <v>384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479</v>
      </c>
      <c r="B28" s="98" t="s">
        <v>379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385</v>
      </c>
      <c r="AG28" s="98" t="s">
        <v>384</v>
      </c>
      <c r="AH28" s="98" t="s">
        <v>389</v>
      </c>
      <c r="AI28" s="98" t="s">
        <v>383</v>
      </c>
      <c r="AJ28" s="98" t="s">
        <v>382</v>
      </c>
      <c r="AK28" s="98" t="s">
        <v>388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480</v>
      </c>
      <c r="B29" s="98" t="s">
        <v>379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389</v>
      </c>
      <c r="AG29" s="98" t="s">
        <v>384</v>
      </c>
      <c r="AH29" s="98" t="s">
        <v>385</v>
      </c>
      <c r="AI29" s="98" t="s">
        <v>383</v>
      </c>
      <c r="AJ29" s="98" t="s">
        <v>382</v>
      </c>
      <c r="AK29" s="98" t="s">
        <v>388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481</v>
      </c>
      <c r="B30" s="98" t="s">
        <v>379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380</v>
      </c>
      <c r="AG30" s="98" t="s">
        <v>385</v>
      </c>
      <c r="AH30" s="98" t="s">
        <v>383</v>
      </c>
      <c r="AI30" s="98" t="s">
        <v>384</v>
      </c>
      <c r="AJ30" s="98" t="s">
        <v>382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482</v>
      </c>
      <c r="B31" s="98" t="s">
        <v>379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380</v>
      </c>
      <c r="AG31" s="98" t="s">
        <v>383</v>
      </c>
      <c r="AH31" s="98" t="s">
        <v>385</v>
      </c>
      <c r="AI31" s="98" t="s">
        <v>382</v>
      </c>
      <c r="AJ31" s="98" t="s">
        <v>384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483</v>
      </c>
      <c r="B32" s="98" t="s">
        <v>379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397</v>
      </c>
      <c r="AG32" s="98" t="s">
        <v>398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484</v>
      </c>
      <c r="B33" s="98" t="s">
        <v>379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380</v>
      </c>
      <c r="AG33" s="98" t="s">
        <v>382</v>
      </c>
      <c r="AH33" s="98" t="s">
        <v>384</v>
      </c>
      <c r="AI33" s="98" t="s">
        <v>383</v>
      </c>
      <c r="AJ33" s="98" t="s">
        <v>385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485</v>
      </c>
      <c r="B34" s="98" t="s">
        <v>379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383</v>
      </c>
      <c r="AG34" s="98" t="s">
        <v>385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486</v>
      </c>
      <c r="B35" s="98" t="s">
        <v>379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380</v>
      </c>
      <c r="AG35" s="98" t="s">
        <v>384</v>
      </c>
      <c r="AH35" s="98" t="s">
        <v>385</v>
      </c>
      <c r="AI35" s="98" t="s">
        <v>383</v>
      </c>
      <c r="AJ35" s="98" t="s">
        <v>382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487</v>
      </c>
      <c r="B36" s="98" t="s">
        <v>379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380</v>
      </c>
      <c r="AG36" s="98" t="s">
        <v>392</v>
      </c>
      <c r="AH36" s="98" t="s">
        <v>383</v>
      </c>
      <c r="AI36" s="98" t="s">
        <v>385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488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4" t="s">
        <v>490</v>
      </c>
      <c r="C2" s="124"/>
      <c r="D2" s="132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4"/>
      <c r="C3" s="124"/>
      <c r="D3" s="132"/>
      <c r="E3" s="76"/>
      <c r="F3" s="76"/>
      <c r="G3" s="76"/>
    </row>
    <row r="4" spans="2:7" ht="28.5" customHeight="1">
      <c r="B4" s="124"/>
      <c r="C4" s="124"/>
      <c r="D4" s="132"/>
      <c r="E4" s="79"/>
      <c r="F4" s="79"/>
      <c r="G4" s="79"/>
    </row>
    <row r="5" spans="2:7" ht="28.5" customHeight="1">
      <c r="B5" s="124" t="s">
        <v>0</v>
      </c>
      <c r="C5" s="124"/>
      <c r="D5" s="31" t="s">
        <v>55</v>
      </c>
      <c r="E5" s="72" t="s">
        <v>222</v>
      </c>
      <c r="F5" s="30" t="s">
        <v>56</v>
      </c>
      <c r="G5" s="30" t="s">
        <v>37</v>
      </c>
    </row>
    <row r="6" spans="2:7" ht="107.25" customHeight="1">
      <c r="B6" s="125" t="s">
        <v>215</v>
      </c>
      <c r="C6" s="126"/>
      <c r="D6" s="78"/>
      <c r="E6" s="78"/>
      <c r="F6" s="78"/>
      <c r="G6" s="78"/>
    </row>
    <row r="7" spans="2:7" ht="28.5" customHeight="1">
      <c r="B7" s="142" t="s">
        <v>216</v>
      </c>
      <c r="C7" s="143"/>
      <c r="D7" s="85" t="s">
        <v>218</v>
      </c>
      <c r="E7" s="85" t="s">
        <v>217</v>
      </c>
      <c r="F7" s="137" t="s">
        <v>219</v>
      </c>
      <c r="G7" s="129" t="s">
        <v>224</v>
      </c>
    </row>
    <row r="8" spans="2:7" ht="21" customHeight="1">
      <c r="B8" s="127" t="s">
        <v>316</v>
      </c>
      <c r="C8" s="128"/>
      <c r="D8" s="90"/>
      <c r="E8" s="90"/>
      <c r="F8" s="137"/>
      <c r="G8" s="130"/>
    </row>
    <row r="9" spans="2:7" ht="21" customHeight="1">
      <c r="B9" s="138" t="s">
        <v>11</v>
      </c>
      <c r="C9" s="139"/>
      <c r="D9" s="83"/>
      <c r="E9" s="83"/>
      <c r="F9" s="137"/>
      <c r="G9" s="130"/>
    </row>
    <row r="10" spans="2:7" ht="21" customHeight="1">
      <c r="B10" s="138" t="s">
        <v>12</v>
      </c>
      <c r="C10" s="139"/>
      <c r="D10" s="84"/>
      <c r="E10" s="84"/>
      <c r="F10" s="137"/>
      <c r="G10" s="130"/>
    </row>
    <row r="11" spans="2:7" ht="21" customHeight="1">
      <c r="B11" s="140" t="s">
        <v>1</v>
      </c>
      <c r="C11" s="141"/>
      <c r="D11" s="82">
        <f>MAX(D19:D20)</f>
        <v>0</v>
      </c>
      <c r="E11" s="82">
        <f>MAX(E19:E20)</f>
        <v>0</v>
      </c>
      <c r="F11" s="137"/>
      <c r="G11" s="130"/>
    </row>
    <row r="12" spans="2:7" ht="21" customHeight="1">
      <c r="B12" s="140" t="s">
        <v>2</v>
      </c>
      <c r="C12" s="141"/>
      <c r="D12" s="82">
        <f>MIN(D19:D20)</f>
        <v>0</v>
      </c>
      <c r="E12" s="82">
        <f>MIN(E19:E20)</f>
        <v>0</v>
      </c>
      <c r="F12" s="137"/>
      <c r="G12" s="130"/>
    </row>
    <row r="13" spans="2:7" ht="21" customHeight="1">
      <c r="B13" s="140" t="s">
        <v>3</v>
      </c>
      <c r="C13" s="141"/>
      <c r="D13" s="82" t="e">
        <f>AVERAGEA(D19:D20)</f>
        <v>#DIV/0!</v>
      </c>
      <c r="E13" s="82" t="e">
        <f>AVERAGEA(E19:E20)</f>
        <v>#DIV/0!</v>
      </c>
      <c r="F13" s="137"/>
      <c r="G13" s="130"/>
    </row>
    <row r="14" spans="2:7" s="73" customFormat="1" ht="21" customHeight="1">
      <c r="B14" s="133" t="s">
        <v>15</v>
      </c>
      <c r="C14" s="134"/>
      <c r="D14" s="74" t="e">
        <f>STDEV(D19:D20)</f>
        <v>#DIV/0!</v>
      </c>
      <c r="E14" s="74" t="e">
        <f>STDEV(E19:E20)</f>
        <v>#DIV/0!</v>
      </c>
      <c r="F14" s="137"/>
      <c r="G14" s="130"/>
    </row>
    <row r="15" spans="2:7" s="73" customFormat="1" ht="21" customHeight="1">
      <c r="B15" s="133" t="s">
        <v>16</v>
      </c>
      <c r="C15" s="134"/>
      <c r="D15" s="74" t="e">
        <f t="shared" ref="D15" si="0">(D9-D10)/(D14*6)</f>
        <v>#DIV/0!</v>
      </c>
      <c r="E15" s="74" t="e">
        <f t="shared" ref="E15" si="1">(E9-E10)/(E14*6)</f>
        <v>#DIV/0!</v>
      </c>
      <c r="F15" s="137"/>
      <c r="G15" s="130"/>
    </row>
    <row r="16" spans="2:7" s="73" customFormat="1" ht="21" customHeight="1">
      <c r="B16" s="133" t="s">
        <v>17</v>
      </c>
      <c r="C16" s="134"/>
      <c r="D16" s="74" t="e">
        <f>(D13-D10)/(D14*3)</f>
        <v>#DIV/0!</v>
      </c>
      <c r="E16" s="74" t="e">
        <f t="shared" ref="E16" si="2">(E13-E10)/(E14*3)</f>
        <v>#DIV/0!</v>
      </c>
      <c r="F16" s="137"/>
      <c r="G16" s="130"/>
    </row>
    <row r="17" spans="2:7" s="73" customFormat="1" ht="21" customHeight="1">
      <c r="B17" s="135" t="s">
        <v>18</v>
      </c>
      <c r="C17" s="136"/>
      <c r="D17" s="74" t="e">
        <f>(D9-D13)/(D14*3)</f>
        <v>#DIV/0!</v>
      </c>
      <c r="E17" s="74" t="e">
        <f t="shared" ref="E17" si="3">(E9-E13)/(E14*3)</f>
        <v>#DIV/0!</v>
      </c>
      <c r="F17" s="137"/>
      <c r="G17" s="130"/>
    </row>
    <row r="18" spans="2:7" s="73" customFormat="1" ht="21" customHeight="1">
      <c r="B18" s="80" t="s">
        <v>223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7"/>
      <c r="G18" s="131"/>
    </row>
    <row r="19" spans="2:7" ht="21" customHeight="1">
      <c r="B19" s="76" t="s">
        <v>57</v>
      </c>
      <c r="C19" s="76" t="s">
        <v>220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221</v>
      </c>
      <c r="D20" s="77"/>
      <c r="E20" s="77"/>
      <c r="F20" s="91"/>
      <c r="G20" s="77"/>
    </row>
    <row r="21" spans="2:7" ht="6" customHeight="1"/>
  </sheetData>
  <mergeCells count="17">
    <mergeCell ref="B7:C7"/>
    <mergeCell ref="B5:C5"/>
    <mergeCell ref="B6:C6"/>
    <mergeCell ref="B8:C8"/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2025-10-10T12:32:38Z</dcterms:modified>
</cp:coreProperties>
</file>