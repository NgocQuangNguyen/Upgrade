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3" activeTab="3"/>
  </bookViews>
  <sheets>
    <sheet name="Coil" sheetId="155" state="hidden" r:id="rId1"/>
    <sheet name="ListSetupsolder" sheetId="112" state="hidden" r:id="rId2"/>
    <sheet name="ListSetup" sheetId="113" state="hidden" r:id="rId3"/>
    <sheet name="Start" sheetId="2" r:id="rId4"/>
    <sheet name="Solder" sheetId="156" state="hidden" r:id="rId5"/>
  </sheets>
  <functionGroups builtInGroupCount="17"/>
  <definedNames>
    <definedName name="_xlnm._FilterDatabase" localSheetId="2" hidden="1">ListSetup!$D$2:$BD$15</definedName>
    <definedName name="_xlnm._FilterDatabase" localSheetId="1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2" i="2"/>
  <c r="G77" i="2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  <c r="G1" i="113" l="1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<sst xmlns="http://schemas.openxmlformats.org/spreadsheetml/2006/main" count="774" uniqueCount="498">
  <si>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</si>
  <si>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</si>
  <si>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</si>
  <si>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</si>
  <si>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</si>
  <si>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</si>
  <si>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</si>
  <si>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</si>
  <si>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</si>
  <si>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</si>
  <si>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</si>
  <si>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</si>
  <si>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</si>
  <si>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</si>
  <si>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</si>
  <si>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</si>
  <si>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</si>
  <si>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</si>
  <si>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</si>
  <si>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</si>
  <si>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</si>
  <si>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</si>
  <si>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</si>
  <si>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</si>
  <si>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</si>
  <si>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</si>
  <si>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</si>
  <si>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</si>
  <si>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</si>
  <si>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</si>
  <si>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</si>
  <si>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</si>
  <si>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</si>
  <si>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</si>
  <si>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</si>
  <si>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</si>
  <si>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</si>
  <si>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</si>
  <si>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</si>
  <si>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</si>
  <si>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</si>
  <si>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</si>
  <si>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</si>
  <si>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</si>
  <si>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</si>
  <si>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</si>
  <si>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</si>
  <si>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</si>
  <si>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</si>
  <si>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</si>
  <si>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</si>
  <si>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</si>
  <si>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</si>
  <si>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</si>
  <si>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</si>
  <si>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</si>
  <si>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</si>
  <si>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</si>
  <si>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</si>
  <si>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</si>
  <si>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</si>
  <si>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</si>
  <si>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</si>
  <si>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</si>
  <si>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</si>
  <si>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</si>
  <si>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</si>
  <si>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</si>
  <si>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</si>
  <si>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</si>
  <si>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</si>
  <si>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</si>
  <si>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</si>
  <si>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</si>
  <si>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</si>
  <si>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</si>
  <si>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</si>
  <si>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</si>
  <si>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</si>
  <si>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</si>
  <si>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</si>
  <si>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</si>
  <si>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</si>
  <si>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</si>
  <si>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</si>
  <si>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</si>
  <si>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</si>
  <si>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</si>
  <si>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</si>
  <si>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</si>
  <si>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</si>
  <si>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</si>
  <si>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</si>
  <si>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</si>
  <si>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</si>
  <si>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</si>
  <si>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</si>
  <si>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</si>
  <si>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</si>
  <si>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</si>
  <si>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</si>
  <si>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</si>
  <si>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</si>
  <si>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</si>
  <si>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</si>
  <si>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</si>
  <si>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</si>
  <si>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</si>
  <si>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</si>
  <si>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</si>
  <si>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</si>
  <si>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</si>
  <si>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</si>
  <si>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</si>
  <si>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</si>
  <si>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</si>
  <si>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</si>
  <si>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</si>
  <si>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</si>
  <si>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</si>
  <si>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</si>
  <si>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</si>
  <si>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</si>
  <si>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</si>
  <si>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</si>
  <si>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</si>
  <si>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</si>
  <si>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</si>
  <si>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</si>
  <si>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</si>
  <si>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</si>
  <si>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</si>
  <si>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</si>
  <si>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</si>
  <si>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</si>
  <si>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</si>
  <si>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</si>
  <si>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</si>
  <si>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</si>
  <si>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</si>
  <si>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</si>
  <si>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</si>
  <si>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</si>
  <si>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</si>
  <si>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</si>
  <si>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</si>
  <si>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</si>
  <si>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</si>
  <si>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</si>
  <si>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</si>
  <si>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</si>
  <si>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</si>
  <si>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</si>
  <si>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</si>
  <si>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</si>
  <si>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</si>
  <si>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</si>
  <si>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</si>
  <si>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</si>
  <si>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</si>
  <si>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</si>
  <si>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</si>
  <si>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</si>
  <si>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</si>
  <si>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</si>
  <si>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</si>
  <si>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</si>
  <si>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</si>
  <si>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</si>
  <si>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</si>
  <si>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</si>
  <si>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</si>
  <si>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</si>
  <si>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</si>
  <si>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</si>
  <si>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</si>
  <si>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</si>
  <si>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</si>
  <si>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</si>
  <si>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</si>
  <si>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</si>
  <si>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</si>
  <si>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</si>
  <si>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</si>
  <si>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</si>
  <si>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</si>
  <si>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</si>
  <si>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</si>
  <si>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</si>
  <si>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</si>
  <si>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</si>
  <si>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</si>
  <si>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</si>
  <si>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</si>
  <si>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</si>
  <si>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</si>
  <si>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</si>
  <si>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</si>
  <si>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</si>
  <si>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</si>
  <si>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</si>
  <si>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</si>
  <si>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</si>
  <si>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</si>
  <si>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</si>
  <si>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</si>
  <si>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</si>
  <si>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</si>
  <si>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</si>
  <si>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</si>
  <si>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</si>
  <si>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</si>
  <si>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</si>
  <si>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81 80 74 54 51 114 120 102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</si>
  <si>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</si>
  <si>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</si>
  <si>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</si>
  <si>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</si>
  <si>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</si>
  <si>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</si>
  <si>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</si>
  <si>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</si>
  <si>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</si>
  <si>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</si>
  <si>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</si>
  <si>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</si>
  <si>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</si>
  <si>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</si>
  <si>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</si>
  <si>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</si>
  <si>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</si>
  <si>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</si>
  <si>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</si>
  <si>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</si>
  <si>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</si>
  <si>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</si>
  <si>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</si>
  <si>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</si>
  <si>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</si>
  <si>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</si>
  <si>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</si>
  <si>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</si>
  <si>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</si>
  <si>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</si>
  <si>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</si>
  <si>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</si>
  <si>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</si>
  <si>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</si>
  <si>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</si>
  <si>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</si>
  <si>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</si>
  <si>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</si>
  <si>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</si>
  <si>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</si>
  <si>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</si>
  <si>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</si>
  <si>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</si>
  <si>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</si>
  <si>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</si>
  <si>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</si>
  <si>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</si>
  <si>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</si>
  <si>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</si>
  <si>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</si>
  <si>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</si>
  <si>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</si>
  <si>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</si>
  <si>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</si>
  <si>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</si>
  <si>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</si>
  <si>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</si>
  <si>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</si>
  <si>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</si>
  <si>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</si>
  <si>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</si>
  <si>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</si>
  <si>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</si>
  <si>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</si>
  <si>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</si>
  <si>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</si>
  <si>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</si>
  <si>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</si>
  <si>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</si>
  <si>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</si>
  <si>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</si>
  <si>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</si>
  <si>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</si>
  <si>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</si>
  <si>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</si>
  <si>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</si>
  <si>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</si>
  <si>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</si>
  <si>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</si>
  <si>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</si>
  <si>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</si>
  <si>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</si>
  <si>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</si>
  <si>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</si>
  <si>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</si>
  <si>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</si>
  <si>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</si>
  <si>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</si>
  <si>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</si>
  <si>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</si>
  <si>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</si>
  <si>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</si>
  <si>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</si>
  <si>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</si>
  <si>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</si>
  <si>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</si>
  <si>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</si>
  <si>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</si>
  <si>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</si>
  <si>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</si>
  <si>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</si>
  <si>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</si>
  <si>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</si>
  <si>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</si>
  <si>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</si>
  <si>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</si>
  <si>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</si>
  <si>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</si>
  <si>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</si>
  <si>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</si>
  <si>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</si>
  <si>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</si>
  <si>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</si>
  <si>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</si>
  <si>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</si>
  <si>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</si>
  <si>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</si>
  <si>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</si>
  <si>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</si>
  <si>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</si>
  <si>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</si>
  <si>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</si>
  <si>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</si>
  <si>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</si>
  <si>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</si>
  <si>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</si>
  <si>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</si>
  <si>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</si>
  <si>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</si>
  <si>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</si>
  <si>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</si>
  <si>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</si>
  <si>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</si>
  <si>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</si>
  <si>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</si>
  <si>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</si>
  <si>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</si>
  <si>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</si>
  <si>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</si>
  <si>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</si>
  <si>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</si>
  <si>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</si>
  <si>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</si>
  <si>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</si>
  <si>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</si>
  <si>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</si>
  <si>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</si>
  <si>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</si>
  <si>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</si>
  <si>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</si>
  <si>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</si>
  <si>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</si>
  <si>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</si>
  <si>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</si>
  <si>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</si>
  <si>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</si>
  <si>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</si>
  <si>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</si>
  <si>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</si>
  <si>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</si>
  <si>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</si>
  <si>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</si>
  <si>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</si>
  <si>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</si>
  <si>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</si>
  <si>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</si>
  <si>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</si>
  <si>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</si>
  <si>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</si>
  <si>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</si>
  <si>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</si>
  <si>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</si>
  <si>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</si>
  <si>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</si>
  <si>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</si>
  <si>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</si>
  <si>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</si>
  <si>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</si>
  <si>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</si>
  <si>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</si>
  <si>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</si>
  <si>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</si>
  <si>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</si>
  <si>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</si>
  <si>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</si>
  <si>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</si>
  <si>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</si>
  <si>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</si>
  <si>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</si>
  <si>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</si>
  <si>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</si>
  <si>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</si>
  <si>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</si>
  <si>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</si>
  <si>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</si>
  <si>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</si>
  <si>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</si>
  <si>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</si>
  <si>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</si>
  <si>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</si>
  <si>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</si>
  <si>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</si>
  <si>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</si>
  <si>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</si>
  <si>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</si>
  <si>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</si>
  <si>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</si>
  <si>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</si>
  <si>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</si>
  <si>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</si>
  <si>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</si>
  <si>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</si>
  <si>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</si>
  <si>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</si>
  <si>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 xml:space="preserve"> 04-Oct-2024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</si>
  <si>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</si>
  <si>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</si>
  <si>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</si>
  <si>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</si>
  <si>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</si>
  <si>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</si>
  <si>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</si>
  <si>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</si>
  <si>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</si>
  <si>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</si>
  <si>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</si>
  <si>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</si>
  <si>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</si>
  <si>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</si>
  <si>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</si>
  <si>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</si>
  <si>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</si>
  <si>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</si>
  <si>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</si>
  <si>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</si>
  <si>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</si>
  <si>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</si>
  <si>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</si>
  <si>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</si>
  <si>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</si>
  <si>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</si>
  <si>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</si>
  <si>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</si>
  <si>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</si>
  <si>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</si>
  <si>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</si>
  <si>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</si>
  <si>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</si>
  <si>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</si>
  <si>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</si>
  <si>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</si>
  <si>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</si>
  <si>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</si>
  <si>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</si>
  <si>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</si>
  <si>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</si>
  <si>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</si>
  <si>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</si>
  <si>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</si>
  <si>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</si>
  <si>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</si>
  <si>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</si>
  <si>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</si>
  <si>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</si>
  <si>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</si>
  <si>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</si>
  <si>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</si>
  <si>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</si>
  <si>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</si>
  <si>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</si>
  <si>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</si>
  <si>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</si>
  <si>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</si>
  <si>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</si>
  <si>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</si>
  <si>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</si>
  <si>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</si>
  <si>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SOLDER ZERO BASE</t>
  </si>
  <si>
    <t>Test</t>
  </si>
  <si>
    <t>Photon VINA CO.,LTD</t>
  </si>
  <si>
    <t xml:space="preserve">
Photon VINA CO.,LTD</t>
  </si>
  <si>
    <t xml:space="preserve"> 18-Jun-2025</t>
  </si>
  <si>
    <t xml:space="preserve"> 18-Jun-2025 06 25 16 PM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</si>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</sst>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2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6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9" fillId="0" borderId="0"/>
    <xf numFmtId="0" fontId="8" fillId="0" borderId="0"/>
    <xf numFmtId="0" fontId="11" fillId="0" borderId="0">
      <alignment vertical="center"/>
    </xf>
    <xf numFmtId="3" fontId="20" fillId="0" borderId="0" applyFont="0" applyFill="0" applyBorder="0" applyAlignment="0" applyProtection="0"/>
    <xf numFmtId="0" fontId="7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23" fillId="0" borderId="0"/>
    <xf numFmtId="0" fontId="3" fillId="0" borderId="0"/>
    <xf numFmtId="0" fontId="2" fillId="0" borderId="0"/>
    <xf numFmtId="0" fontId="1" fillId="0" borderId="0"/>
  </cellStyleXfs>
  <cellXfs count="143">
    <xf numFmtId="0" fontId="0" fillId="0" borderId="0" xfId="0">
      <alignment vertical="center"/>
    </xf>
    <xf numFmtId="164" fontId="15" fillId="3" borderId="13" xfId="5" applyNumberFormat="1" applyFont="1" applyFill="1" applyBorder="1" applyAlignment="1">
      <alignment horizontal="center" vertical="center" wrapText="1" shrinkToFit="1"/>
    </xf>
    <xf numFmtId="0" fontId="15" fillId="3" borderId="12" xfId="5" applyFont="1" applyFill="1" applyBorder="1" applyAlignment="1">
      <alignment horizontal="center" vertical="center" wrapText="1" shrinkToFit="1"/>
    </xf>
    <xf numFmtId="0" fontId="15" fillId="3" borderId="4" xfId="5" applyFont="1" applyFill="1" applyBorder="1" applyAlignment="1">
      <alignment horizontal="center" vertical="center" wrapText="1" shrinkToFit="1"/>
    </xf>
    <xf numFmtId="164" fontId="15" fillId="3" borderId="1" xfId="5" applyNumberFormat="1" applyFont="1" applyFill="1" applyBorder="1" applyAlignment="1">
      <alignment horizontal="center" vertical="center" wrapText="1" shrinkToFit="1"/>
    </xf>
    <xf numFmtId="164" fontId="15" fillId="3" borderId="14" xfId="5" applyNumberFormat="1" applyFont="1" applyFill="1" applyBorder="1" applyAlignment="1">
      <alignment horizontal="center" vertical="center" wrapText="1" shrinkToFit="1"/>
    </xf>
    <xf numFmtId="164" fontId="15" fillId="3" borderId="6" xfId="5" applyNumberFormat="1" applyFont="1" applyFill="1" applyBorder="1" applyAlignment="1">
      <alignment horizontal="center" vertical="center" wrapText="1" shrinkToFit="1"/>
    </xf>
    <xf numFmtId="164" fontId="15" fillId="3" borderId="15" xfId="5" applyNumberFormat="1" applyFont="1" applyFill="1" applyBorder="1" applyAlignment="1">
      <alignment horizontal="center" vertical="center" wrapText="1" shrinkToFit="1"/>
    </xf>
    <xf numFmtId="164" fontId="15" fillId="3" borderId="36" xfId="5" applyNumberFormat="1" applyFont="1" applyFill="1" applyBorder="1" applyAlignment="1">
      <alignment horizontal="center" vertical="center" wrapText="1" shrinkToFit="1"/>
    </xf>
    <xf numFmtId="0" fontId="15" fillId="3" borderId="1" xfId="5" applyFont="1" applyFill="1" applyBorder="1" applyAlignment="1">
      <alignment horizontal="center" vertical="center" wrapText="1" shrinkToFit="1"/>
    </xf>
    <xf numFmtId="0" fontId="15" fillId="3" borderId="13" xfId="5" applyFont="1" applyFill="1" applyBorder="1" applyAlignment="1">
      <alignment horizontal="center" vertical="center" wrapText="1" shrinkToFit="1"/>
    </xf>
    <xf numFmtId="0" fontId="15" fillId="3" borderId="19" xfId="5" applyFont="1" applyFill="1" applyBorder="1" applyAlignment="1">
      <alignment horizontal="center" vertical="center" wrapText="1" shrinkToFit="1"/>
    </xf>
    <xf numFmtId="0" fontId="13" fillId="3" borderId="17" xfId="5" applyFont="1" applyFill="1" applyBorder="1" applyAlignment="1">
      <alignment horizontal="center" vertical="center" wrapText="1"/>
    </xf>
    <xf numFmtId="0" fontId="13" fillId="3" borderId="25" xfId="5" applyFont="1" applyFill="1" applyBorder="1" applyAlignment="1">
      <alignment horizontal="center" vertical="center" wrapText="1"/>
    </xf>
    <xf numFmtId="0" fontId="18" fillId="6" borderId="35" xfId="5" applyFont="1" applyFill="1" applyBorder="1" applyAlignment="1">
      <alignment horizontal="center" vertical="center"/>
    </xf>
    <xf numFmtId="0" fontId="18" fillId="6" borderId="21" xfId="5" applyFont="1" applyFill="1" applyBorder="1" applyAlignment="1">
      <alignment horizontal="center" vertical="center"/>
    </xf>
    <xf numFmtId="164" fontId="19" fillId="6" borderId="22" xfId="5" applyNumberFormat="1" applyFont="1" applyFill="1" applyBorder="1" applyAlignment="1">
      <alignment horizontal="center" vertical="center"/>
    </xf>
    <xf numFmtId="164" fontId="19" fillId="6" borderId="23" xfId="5" applyNumberFormat="1" applyFont="1" applyFill="1" applyBorder="1" applyAlignment="1">
      <alignment horizontal="center" vertical="center"/>
    </xf>
    <xf numFmtId="164" fontId="19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2" fillId="0" borderId="0" xfId="0" applyFont="1">
      <alignment vertical="center"/>
    </xf>
    <xf numFmtId="164" fontId="22" fillId="4" borderId="0" xfId="0" applyNumberFormat="1" applyFont="1" applyFill="1">
      <alignment vertical="center"/>
    </xf>
    <xf numFmtId="0" fontId="22" fillId="4" borderId="0" xfId="0" applyFont="1" applyFill="1">
      <alignment vertical="center"/>
    </xf>
    <xf numFmtId="0" fontId="22" fillId="4" borderId="0" xfId="0" applyFont="1" applyFill="1" applyAlignment="1">
      <alignment horizontal="center" vertical="center"/>
    </xf>
    <xf numFmtId="167" fontId="22" fillId="0" borderId="0" xfId="0" applyNumberFormat="1" applyFont="1">
      <alignment vertical="center"/>
    </xf>
    <xf numFmtId="0" fontId="17" fillId="0" borderId="1" xfId="0" applyFont="1" applyBorder="1" applyAlignment="1">
      <alignment vertical="center" wrapText="1"/>
    </xf>
    <xf numFmtId="0" fontId="17" fillId="0" borderId="1" xfId="0" applyFont="1" applyBorder="1" applyAlignment="1" applyProtection="1">
      <alignment horizontal="left" vertical="center" wrapText="1"/>
      <protection locked="0"/>
    </xf>
    <xf numFmtId="0" fontId="1" fillId="0" borderId="0" xfId="15"/>
    <xf numFmtId="164" fontId="17" fillId="2" borderId="41" xfId="15" applyNumberFormat="1" applyFont="1" applyFill="1" applyBorder="1" applyAlignment="1">
      <alignment horizontal="center" vertical="center"/>
    </xf>
    <xf numFmtId="164" fontId="17" fillId="2" borderId="23" xfId="15" applyNumberFormat="1" applyFont="1" applyFill="1" applyBorder="1" applyAlignment="1">
      <alignment horizontal="center" vertical="center"/>
    </xf>
    <xf numFmtId="164" fontId="17" fillId="2" borderId="40" xfId="15" applyNumberFormat="1" applyFont="1" applyFill="1" applyBorder="1" applyAlignment="1">
      <alignment horizontal="center" vertical="center"/>
    </xf>
    <xf numFmtId="164" fontId="17" fillId="2" borderId="42" xfId="15" applyNumberFormat="1" applyFont="1" applyFill="1" applyBorder="1" applyAlignment="1">
      <alignment horizontal="center" vertical="center"/>
    </xf>
    <xf numFmtId="164" fontId="17" fillId="2" borderId="39" xfId="15" applyNumberFormat="1" applyFont="1" applyFill="1" applyBorder="1" applyAlignment="1">
      <alignment horizontal="center" vertical="center"/>
    </xf>
    <xf numFmtId="0" fontId="16" fillId="5" borderId="18" xfId="15" applyFont="1" applyFill="1" applyBorder="1" applyAlignment="1">
      <alignment horizontal="center" vertical="center"/>
    </xf>
    <xf numFmtId="164" fontId="17" fillId="2" borderId="16" xfId="15" applyNumberFormat="1" applyFont="1" applyFill="1" applyBorder="1" applyAlignment="1">
      <alignment horizontal="center" vertical="center"/>
    </xf>
    <xf numFmtId="164" fontId="17" fillId="2" borderId="1" xfId="15" applyNumberFormat="1" applyFont="1" applyFill="1" applyBorder="1" applyAlignment="1">
      <alignment horizontal="center" vertical="center"/>
    </xf>
    <xf numFmtId="164" fontId="17" fillId="2" borderId="3" xfId="15" applyNumberFormat="1" applyFont="1" applyFill="1" applyBorder="1" applyAlignment="1">
      <alignment horizontal="center" vertical="center"/>
    </xf>
    <xf numFmtId="164" fontId="17" fillId="2" borderId="37" xfId="15" applyNumberFormat="1" applyFont="1" applyFill="1" applyBorder="1" applyAlignment="1">
      <alignment horizontal="center" vertical="center"/>
    </xf>
    <xf numFmtId="164" fontId="17" fillId="2" borderId="17" xfId="15" applyNumberFormat="1" applyFont="1" applyFill="1" applyBorder="1" applyAlignment="1">
      <alignment horizontal="center" vertical="center"/>
    </xf>
    <xf numFmtId="0" fontId="16" fillId="5" borderId="17" xfId="15" applyFont="1" applyFill="1" applyBorder="1" applyAlignment="1">
      <alignment horizontal="center" vertical="center"/>
    </xf>
    <xf numFmtId="164" fontId="17" fillId="2" borderId="19" xfId="15" applyNumberFormat="1" applyFont="1" applyFill="1" applyBorder="1" applyAlignment="1">
      <alignment horizontal="center" vertical="center"/>
    </xf>
    <xf numFmtId="164" fontId="17" fillId="2" borderId="2" xfId="15" applyNumberFormat="1" applyFont="1" applyFill="1" applyBorder="1" applyAlignment="1">
      <alignment horizontal="center" vertical="center"/>
    </xf>
    <xf numFmtId="164" fontId="17" fillId="2" borderId="5" xfId="15" applyNumberFormat="1" applyFont="1" applyFill="1" applyBorder="1" applyAlignment="1">
      <alignment horizontal="center" vertical="center"/>
    </xf>
    <xf numFmtId="164" fontId="17" fillId="2" borderId="38" xfId="15" applyNumberFormat="1" applyFont="1" applyFill="1" applyBorder="1" applyAlignment="1">
      <alignment horizontal="center" vertical="center"/>
    </xf>
    <xf numFmtId="164" fontId="17" fillId="2" borderId="18" xfId="15" applyNumberFormat="1" applyFont="1" applyFill="1" applyBorder="1" applyAlignment="1">
      <alignment horizontal="center" vertical="center"/>
    </xf>
    <xf numFmtId="164" fontId="17" fillId="2" borderId="13" xfId="15" applyNumberFormat="1" applyFont="1" applyFill="1" applyBorder="1" applyAlignment="1">
      <alignment horizontal="center" vertical="center"/>
    </xf>
    <xf numFmtId="164" fontId="17" fillId="2" borderId="12" xfId="15" applyNumberFormat="1" applyFont="1" applyFill="1" applyBorder="1" applyAlignment="1">
      <alignment horizontal="center" vertical="center"/>
    </xf>
    <xf numFmtId="0" fontId="16" fillId="5" borderId="25" xfId="15" applyFont="1" applyFill="1" applyBorder="1" applyAlignment="1">
      <alignment horizontal="center" vertical="center"/>
    </xf>
    <xf numFmtId="0" fontId="12" fillId="0" borderId="34" xfId="15" applyFont="1" applyBorder="1" applyAlignment="1">
      <alignment vertical="center" wrapText="1"/>
    </xf>
    <xf numFmtId="0" fontId="12" fillId="0" borderId="33" xfId="15" applyFont="1" applyBorder="1" applyAlignment="1">
      <alignment vertical="center" wrapText="1"/>
    </xf>
    <xf numFmtId="0" fontId="12" fillId="0" borderId="32" xfId="15" applyFont="1" applyBorder="1" applyAlignment="1">
      <alignment vertical="center" wrapText="1"/>
    </xf>
    <xf numFmtId="0" fontId="12" fillId="0" borderId="10" xfId="15" applyFont="1" applyBorder="1" applyAlignment="1">
      <alignment horizontal="center" vertical="center" wrapText="1"/>
    </xf>
    <xf numFmtId="0" fontId="12" fillId="0" borderId="26" xfId="15" applyFont="1" applyBorder="1" applyAlignment="1">
      <alignment vertical="center" wrapText="1"/>
    </xf>
    <xf numFmtId="0" fontId="12" fillId="0" borderId="27" xfId="15" applyFont="1" applyBorder="1" applyAlignment="1">
      <alignment vertical="center" wrapText="1"/>
    </xf>
    <xf numFmtId="0" fontId="12" fillId="0" borderId="28" xfId="15" applyFont="1" applyBorder="1" applyAlignment="1">
      <alignment vertical="center" wrapText="1"/>
    </xf>
    <xf numFmtId="0" fontId="12" fillId="0" borderId="29" xfId="15" applyFont="1" applyBorder="1" applyAlignment="1">
      <alignment horizontal="center" vertical="top" wrapText="1"/>
    </xf>
    <xf numFmtId="0" fontId="12" fillId="0" borderId="30" xfId="15" applyFont="1" applyBorder="1" applyAlignment="1">
      <alignment vertical="center" wrapText="1"/>
    </xf>
    <xf numFmtId="0" fontId="12" fillId="0" borderId="0" xfId="15" applyFont="1" applyAlignment="1">
      <alignment vertical="center" wrapText="1"/>
    </xf>
    <xf numFmtId="0" fontId="12" fillId="0" borderId="20" xfId="15" applyFont="1" applyBorder="1" applyAlignment="1">
      <alignment vertical="center" wrapText="1"/>
    </xf>
    <xf numFmtId="0" fontId="12" fillId="0" borderId="31" xfId="15" applyFont="1" applyBorder="1" applyAlignment="1">
      <alignment horizontal="center" wrapText="1"/>
    </xf>
    <xf numFmtId="14" fontId="12" fillId="0" borderId="31" xfId="15" applyNumberFormat="1" applyFont="1" applyBorder="1" applyAlignment="1">
      <alignment horizontal="center" vertical="top" wrapText="1"/>
    </xf>
    <xf numFmtId="0" fontId="12" fillId="0" borderId="9" xfId="15" applyFont="1" applyBorder="1" applyAlignment="1">
      <alignment vertical="center" wrapText="1"/>
    </xf>
    <xf numFmtId="0" fontId="12" fillId="0" borderId="8" xfId="15" applyFont="1" applyBorder="1" applyAlignment="1">
      <alignment vertical="center" wrapText="1"/>
    </xf>
    <xf numFmtId="0" fontId="12" fillId="0" borderId="7" xfId="15" applyFont="1" applyBorder="1" applyAlignment="1">
      <alignment vertical="center" wrapText="1"/>
    </xf>
    <xf numFmtId="0" fontId="12" fillId="0" borderId="11" xfId="15" applyFont="1" applyBorder="1" applyAlignment="1">
      <alignment horizontal="center" wrapText="1"/>
    </xf>
    <xf numFmtId="0" fontId="21" fillId="0" borderId="34" xfId="15" applyFont="1" applyBorder="1" applyAlignment="1">
      <alignment vertical="center" wrapText="1"/>
    </xf>
    <xf numFmtId="0" fontId="21" fillId="0" borderId="33" xfId="15" applyFont="1" applyBorder="1" applyAlignment="1">
      <alignment vertical="center" wrapText="1"/>
    </xf>
    <xf numFmtId="0" fontId="17" fillId="0" borderId="1" xfId="0" applyFont="1" applyBorder="1" applyAlignment="1">
      <alignment horizontal="left" vertical="center" wrapText="1"/>
    </xf>
    <xf numFmtId="0" fontId="24" fillId="0" borderId="0" xfId="0" applyFont="1" applyAlignment="1"/>
    <xf numFmtId="164" fontId="25" fillId="7" borderId="1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164" fontId="26" fillId="0" borderId="1" xfId="0" applyNumberFormat="1" applyFont="1" applyBorder="1" applyAlignment="1">
      <alignment horizontal="center" vertical="center" wrapText="1"/>
    </xf>
    <xf numFmtId="0" fontId="26" fillId="0" borderId="1" xfId="0" applyFont="1" applyBorder="1" applyAlignment="1">
      <alignment vertical="center" wrapText="1"/>
    </xf>
    <xf numFmtId="16" fontId="26" fillId="0" borderId="1" xfId="0" applyNumberFormat="1" applyFont="1" applyBorder="1" applyAlignment="1">
      <alignment horizontal="center" vertical="center" wrapText="1"/>
    </xf>
    <xf numFmtId="0" fontId="25" fillId="9" borderId="17" xfId="0" applyFont="1" applyFill="1" applyBorder="1" applyAlignment="1">
      <alignment horizontal="right" vertical="center"/>
    </xf>
    <xf numFmtId="2" fontId="25" fillId="9" borderId="4" xfId="0" applyNumberFormat="1" applyFont="1" applyFill="1" applyBorder="1" applyAlignment="1">
      <alignment horizontal="left" vertical="center"/>
    </xf>
    <xf numFmtId="164" fontId="27" fillId="8" borderId="1" xfId="0" applyNumberFormat="1" applyFont="1" applyFill="1" applyBorder="1" applyAlignment="1">
      <alignment horizontal="center" vertical="center" wrapText="1"/>
    </xf>
    <xf numFmtId="0" fontId="27" fillId="3" borderId="1" xfId="0" applyFont="1" applyFill="1" applyBorder="1" applyAlignment="1">
      <alignment horizontal="center" vertical="center" wrapText="1"/>
    </xf>
    <xf numFmtId="2" fontId="27" fillId="3" borderId="1" xfId="0" applyNumberFormat="1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164" fontId="25" fillId="9" borderId="1" xfId="0" applyNumberFormat="1" applyFont="1" applyFill="1" applyBorder="1" applyAlignment="1">
      <alignment horizontal="center" vertical="center"/>
    </xf>
    <xf numFmtId="164" fontId="19" fillId="6" borderId="47" xfId="5" applyNumberFormat="1" applyFont="1" applyFill="1" applyBorder="1" applyAlignment="1">
      <alignment horizontal="center" vertical="center"/>
    </xf>
    <xf numFmtId="164" fontId="19" fillId="6" borderId="48" xfId="5" applyNumberFormat="1" applyFont="1" applyFill="1" applyBorder="1" applyAlignment="1">
      <alignment horizontal="center" vertical="center"/>
    </xf>
    <xf numFmtId="164" fontId="19" fillId="6" borderId="49" xfId="5" applyNumberFormat="1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 wrapText="1"/>
    </xf>
    <xf numFmtId="164" fontId="17" fillId="0" borderId="1" xfId="0" applyNumberFormat="1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0" fontId="29" fillId="0" borderId="0" xfId="14" applyFont="1"/>
    <xf numFmtId="166" fontId="29" fillId="0" borderId="0" xfId="14" applyNumberFormat="1" applyFont="1"/>
    <xf numFmtId="0" fontId="29" fillId="0" borderId="0" xfId="14" quotePrefix="1" applyFont="1"/>
    <xf numFmtId="0" fontId="29" fillId="0" borderId="0" xfId="14" applyFont="1" applyAlignment="1">
      <alignment horizontal="center" vertical="center"/>
    </xf>
    <xf numFmtId="0" fontId="29" fillId="0" borderId="0" xfId="14" applyFont="1" applyAlignment="1">
      <alignment vertical="center"/>
    </xf>
    <xf numFmtId="0" fontId="29" fillId="0" borderId="0" xfId="13" applyFont="1" applyAlignment="1">
      <alignment horizontal="center" vertical="center"/>
    </xf>
    <xf numFmtId="164" fontId="29" fillId="0" borderId="0" xfId="14" applyNumberFormat="1" applyFont="1"/>
    <xf numFmtId="0" fontId="29" fillId="0" borderId="0" xfId="0" applyFont="1" applyAlignment="1">
      <alignment vertical="center" wrapText="1"/>
    </xf>
    <xf numFmtId="0" fontId="29" fillId="0" borderId="0" xfId="0" applyFont="1">
      <alignment vertical="center"/>
    </xf>
    <xf numFmtId="0" fontId="29" fillId="0" borderId="0" xfId="14" applyFont="1" applyAlignment="1">
      <alignment horizontal="center"/>
    </xf>
    <xf numFmtId="0" fontId="29" fillId="0" borderId="0" xfId="13" applyFont="1" applyAlignment="1">
      <alignment horizontal="center"/>
    </xf>
    <xf numFmtId="2" fontId="29" fillId="0" borderId="0" xfId="13" applyNumberFormat="1" applyFont="1" applyAlignment="1">
      <alignment horizontal="center" vertical="center"/>
    </xf>
    <xf numFmtId="0" fontId="29" fillId="0" borderId="0" xfId="13" applyFont="1"/>
    <xf numFmtId="15" fontId="29" fillId="0" borderId="0" xfId="0" applyNumberFormat="1" applyFont="1" applyAlignment="1"/>
    <xf numFmtId="2" fontId="29" fillId="0" borderId="0" xfId="13" applyNumberFormat="1" applyFont="1"/>
    <xf numFmtId="0" fontId="30" fillId="0" borderId="32" xfId="15" applyFont="1" applyBorder="1" applyAlignment="1">
      <alignment horizontal="center" vertical="center" wrapText="1"/>
    </xf>
    <xf numFmtId="15" fontId="31" fillId="0" borderId="0" xfId="0" applyNumberFormat="1" applyFont="1" applyAlignment="1"/>
    <xf numFmtId="0" fontId="14" fillId="3" borderId="28" xfId="5" applyFont="1" applyFill="1" applyBorder="1" applyAlignment="1">
      <alignment horizontal="center" vertical="center" wrapText="1"/>
    </xf>
    <xf numFmtId="0" fontId="14" fillId="3" borderId="27" xfId="5" applyFont="1" applyFill="1" applyBorder="1" applyAlignment="1">
      <alignment horizontal="center" vertical="center" wrapText="1"/>
    </xf>
    <xf numFmtId="0" fontId="14" fillId="3" borderId="26" xfId="5" applyFont="1" applyFill="1" applyBorder="1" applyAlignment="1">
      <alignment horizontal="center" vertical="center" wrapText="1"/>
    </xf>
    <xf numFmtId="0" fontId="12" fillId="4" borderId="11" xfId="5" applyFont="1" applyFill="1" applyBorder="1" applyAlignment="1">
      <alignment horizontal="center" vertical="center" wrapText="1"/>
    </xf>
    <xf numFmtId="0" fontId="12" fillId="4" borderId="35" xfId="5" applyFont="1" applyFill="1" applyBorder="1" applyAlignment="1">
      <alignment horizontal="center" vertical="center" wrapText="1"/>
    </xf>
    <xf numFmtId="0" fontId="12" fillId="4" borderId="43" xfId="5" applyFont="1" applyFill="1" applyBorder="1" applyAlignment="1">
      <alignment horizontal="center" vertical="center" wrapText="1"/>
    </xf>
    <xf numFmtId="0" fontId="12" fillId="4" borderId="44" xfId="5" applyFont="1" applyFill="1" applyBorder="1" applyAlignment="1">
      <alignment horizontal="center" vertical="center" wrapText="1"/>
    </xf>
    <xf numFmtId="0" fontId="13" fillId="3" borderId="32" xfId="5" applyFont="1" applyFill="1" applyBorder="1" applyAlignment="1">
      <alignment horizontal="center" vertical="center" wrapText="1"/>
    </xf>
    <xf numFmtId="0" fontId="13" fillId="3" borderId="35" xfId="5" applyFont="1" applyFill="1" applyBorder="1" applyAlignment="1">
      <alignment horizontal="center" vertical="center" wrapText="1"/>
    </xf>
    <xf numFmtId="0" fontId="12" fillId="3" borderId="11" xfId="5" applyFont="1" applyFill="1" applyBorder="1" applyAlignment="1">
      <alignment horizontal="center" vertical="center" wrapText="1"/>
    </xf>
    <xf numFmtId="0" fontId="12" fillId="3" borderId="8" xfId="5" applyFont="1" applyFill="1" applyBorder="1" applyAlignment="1">
      <alignment horizontal="center" vertical="center" wrapText="1"/>
    </xf>
    <xf numFmtId="0" fontId="12" fillId="3" borderId="9" xfId="5" applyFont="1" applyFill="1" applyBorder="1" applyAlignment="1">
      <alignment horizontal="center" vertical="center" wrapText="1"/>
    </xf>
    <xf numFmtId="0" fontId="12" fillId="3" borderId="7" xfId="5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 wrapText="1"/>
    </xf>
    <xf numFmtId="0" fontId="27" fillId="0" borderId="45" xfId="0" applyFont="1" applyBorder="1" applyAlignment="1">
      <alignment horizontal="center" vertical="center" wrapText="1"/>
    </xf>
    <xf numFmtId="0" fontId="27" fillId="0" borderId="6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25" fillId="7" borderId="17" xfId="0" applyFont="1" applyFill="1" applyBorder="1" applyAlignment="1">
      <alignment horizontal="center" vertical="center"/>
    </xf>
    <xf numFmtId="0" fontId="25" fillId="7" borderId="4" xfId="0" applyFont="1" applyFill="1" applyBorder="1" applyAlignment="1">
      <alignment horizontal="center" vertical="center"/>
    </xf>
    <xf numFmtId="0" fontId="25" fillId="9" borderId="17" xfId="0" applyFont="1" applyFill="1" applyBorder="1" applyAlignment="1">
      <alignment horizontal="center" vertical="center"/>
    </xf>
    <xf numFmtId="0" fontId="25" fillId="9" borderId="4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0" fontId="27" fillId="3" borderId="3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center" vertical="center" wrapText="1"/>
    </xf>
    <xf numFmtId="0" fontId="27" fillId="8" borderId="3" xfId="0" applyFont="1" applyFill="1" applyBorder="1" applyAlignment="1">
      <alignment horizontal="center" vertical="center" wrapText="1"/>
    </xf>
    <xf numFmtId="0" fontId="27" fillId="8" borderId="4" xfId="0" applyFont="1" applyFill="1" applyBorder="1" applyAlignment="1">
      <alignment horizontal="center" vertical="center" wrapText="1"/>
    </xf>
    <xf numFmtId="0" fontId="27" fillId="0" borderId="46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27" fillId="10" borderId="3" xfId="0" applyFont="1" applyFill="1" applyBorder="1" applyAlignment="1">
      <alignment horizontal="center" vertical="center" wrapText="1"/>
    </xf>
    <xf numFmtId="0" fontId="27" fillId="10" borderId="4" xfId="0" applyFont="1" applyFill="1" applyBorder="1" applyAlignment="1">
      <alignment horizontal="center" vertical="center" wrapText="1"/>
    </xf>
  </cellXfs>
  <cellStyles count="16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3" xfId="14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108" t="s">
        <v>494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L2" activePane="bottomRight" state="frozen"/>
      <selection pane="topRight" activeCell="B1" sqref="B1"/>
      <selection pane="bottomLeft" activeCell="A2" sqref="A2"/>
      <selection pane="bottomRight" activeCell="X1" sqref="X1"/>
    </sheetView>
  </sheetViews>
  <sheetFormatPr defaultColWidth="17" defaultRowHeight="15"/>
  <cols>
    <col min="1" max="1" width="17" style="103"/>
    <col min="2" max="2" width="26.140625" style="103" bestFit="1" customWidth="1"/>
    <col min="3" max="3" width="24.85546875" style="103" bestFit="1" customWidth="1"/>
    <col min="4" max="4" width="14.42578125" style="103" bestFit="1" customWidth="1"/>
    <col min="5" max="5" width="15.5703125" style="103" bestFit="1" customWidth="1"/>
    <col min="6" max="6" width="17" style="103"/>
    <col min="7" max="7" width="17" style="105"/>
    <col min="8" max="204" width="10.140625" style="105" customWidth="1"/>
    <col min="205" max="206" width="27" style="105" customWidth="1"/>
    <col min="207" max="207" width="17" style="105"/>
    <col min="208" max="404" width="8.42578125" style="105" customWidth="1"/>
    <col min="405" max="1997" width="6.140625" style="105" customWidth="1"/>
    <col min="1998" max="1998" width="9.28515625" style="107" bestFit="1" customWidth="1"/>
    <col min="1999" max="2000" width="21.85546875" style="105" customWidth="1"/>
    <col min="2001" max="2024" width="14.7109375" style="98" customWidth="1"/>
    <col min="2025" max="16384" width="17" style="105"/>
  </cols>
  <sheetData>
    <row r="1" spans="1:2216 16381:16384" s="98" customFormat="1">
      <c r="A1" s="98" t="s">
        <v>0</v>
      </c>
      <c r="B1" s="98" t="s">
        <v>59</v>
      </c>
      <c r="C1" s="98" t="s">
        <v>60</v>
      </c>
      <c r="D1" s="98" t="s">
        <v>84</v>
      </c>
      <c r="E1" s="98" t="s">
        <v>85</v>
      </c>
      <c r="F1" s="98" t="s">
        <v>378</v>
      </c>
      <c r="G1" s="98" t="s">
        <v>45</v>
      </c>
      <c r="H1" s="98">
        <v>1</v>
      </c>
      <c r="I1" s="98">
        <v>2</v>
      </c>
      <c r="J1" s="98">
        <v>3</v>
      </c>
      <c r="K1" s="98">
        <v>4</v>
      </c>
      <c r="L1" s="98">
        <v>5</v>
      </c>
      <c r="M1" s="98">
        <v>6</v>
      </c>
      <c r="N1" s="98">
        <v>7</v>
      </c>
      <c r="O1" s="98">
        <v>8</v>
      </c>
      <c r="P1" s="98">
        <v>9</v>
      </c>
      <c r="Q1" s="98">
        <v>10</v>
      </c>
      <c r="R1" s="98">
        <v>11</v>
      </c>
      <c r="S1" s="98">
        <v>12</v>
      </c>
      <c r="T1" s="98">
        <v>13</v>
      </c>
      <c r="U1" s="98">
        <v>14</v>
      </c>
      <c r="V1" s="98">
        <v>15</v>
      </c>
      <c r="W1" s="98">
        <v>16</v>
      </c>
      <c r="X1" s="98">
        <v>17</v>
      </c>
      <c r="Y1" s="98">
        <v>18</v>
      </c>
      <c r="Z1" s="98">
        <v>19</v>
      </c>
      <c r="AA1" s="98">
        <v>20</v>
      </c>
      <c r="AB1" s="98">
        <v>21</v>
      </c>
      <c r="AC1" s="98">
        <v>22</v>
      </c>
      <c r="AD1" s="98">
        <v>23</v>
      </c>
      <c r="AE1" s="98">
        <v>24</v>
      </c>
      <c r="AF1" s="98">
        <v>25</v>
      </c>
      <c r="AG1" s="98">
        <v>26</v>
      </c>
      <c r="AH1" s="98">
        <v>27</v>
      </c>
      <c r="AI1" s="98">
        <v>28</v>
      </c>
      <c r="AJ1" s="98">
        <v>29</v>
      </c>
      <c r="AK1" s="98">
        <v>30</v>
      </c>
      <c r="AL1" s="98">
        <v>31</v>
      </c>
      <c r="AM1" s="98">
        <v>32</v>
      </c>
      <c r="AN1" s="98">
        <v>33</v>
      </c>
      <c r="AO1" s="98">
        <v>34</v>
      </c>
      <c r="AP1" s="98">
        <v>35</v>
      </c>
      <c r="AQ1" s="98">
        <v>36</v>
      </c>
      <c r="AR1" s="98">
        <v>37</v>
      </c>
      <c r="AS1" s="98">
        <v>38</v>
      </c>
      <c r="AT1" s="98">
        <v>39</v>
      </c>
      <c r="AU1" s="98">
        <v>40</v>
      </c>
      <c r="AV1" s="98">
        <v>41</v>
      </c>
      <c r="AW1" s="98">
        <v>42</v>
      </c>
      <c r="AX1" s="98">
        <v>43</v>
      </c>
      <c r="AY1" s="98">
        <v>44</v>
      </c>
      <c r="AZ1" s="98">
        <v>45</v>
      </c>
      <c r="BA1" s="98">
        <v>46</v>
      </c>
      <c r="BB1" s="98">
        <v>47</v>
      </c>
      <c r="BC1" s="98">
        <v>48</v>
      </c>
      <c r="BD1" s="98">
        <v>49</v>
      </c>
      <c r="BE1" s="98">
        <v>50</v>
      </c>
      <c r="BF1" s="98">
        <v>51</v>
      </c>
      <c r="BG1" s="98">
        <v>52</v>
      </c>
      <c r="BH1" s="98">
        <v>53</v>
      </c>
      <c r="BI1" s="98">
        <v>54</v>
      </c>
      <c r="BJ1" s="98">
        <v>55</v>
      </c>
      <c r="BK1" s="98">
        <v>56</v>
      </c>
      <c r="BL1" s="98">
        <v>57</v>
      </c>
      <c r="BM1" s="98">
        <v>58</v>
      </c>
      <c r="BN1" s="98">
        <v>59</v>
      </c>
      <c r="BO1" s="98">
        <v>60</v>
      </c>
      <c r="BP1" s="98">
        <v>61</v>
      </c>
      <c r="BQ1" s="98">
        <v>62</v>
      </c>
      <c r="BR1" s="98">
        <v>63</v>
      </c>
      <c r="BS1" s="98">
        <v>64</v>
      </c>
      <c r="BT1" s="98">
        <v>65</v>
      </c>
      <c r="BU1" s="98">
        <v>66</v>
      </c>
      <c r="BV1" s="98">
        <v>67</v>
      </c>
      <c r="BW1" s="98">
        <v>68</v>
      </c>
      <c r="BX1" s="98">
        <v>69</v>
      </c>
      <c r="BY1" s="98">
        <v>70</v>
      </c>
      <c r="BZ1" s="98">
        <v>71</v>
      </c>
      <c r="CA1" s="98">
        <v>72</v>
      </c>
      <c r="CB1" s="98">
        <v>73</v>
      </c>
      <c r="CC1" s="98">
        <v>74</v>
      </c>
      <c r="CD1" s="98">
        <v>75</v>
      </c>
      <c r="CE1" s="98">
        <v>76</v>
      </c>
      <c r="CF1" s="98">
        <v>77</v>
      </c>
      <c r="CG1" s="98">
        <v>78</v>
      </c>
      <c r="CH1" s="98">
        <v>79</v>
      </c>
      <c r="CI1" s="98">
        <v>80</v>
      </c>
      <c r="CJ1" s="98">
        <v>81</v>
      </c>
      <c r="CK1" s="98">
        <v>82</v>
      </c>
      <c r="CL1" s="98">
        <v>83</v>
      </c>
      <c r="CM1" s="98">
        <v>84</v>
      </c>
      <c r="CN1" s="98">
        <v>85</v>
      </c>
      <c r="CO1" s="98">
        <v>86</v>
      </c>
      <c r="CP1" s="98">
        <v>87</v>
      </c>
      <c r="CQ1" s="98">
        <v>88</v>
      </c>
      <c r="CR1" s="98">
        <v>89</v>
      </c>
      <c r="CS1" s="98">
        <v>90</v>
      </c>
      <c r="CT1" s="98">
        <v>91</v>
      </c>
      <c r="CU1" s="98">
        <v>92</v>
      </c>
      <c r="CV1" s="98">
        <v>93</v>
      </c>
      <c r="CW1" s="98">
        <v>94</v>
      </c>
      <c r="CX1" s="98">
        <v>95</v>
      </c>
      <c r="CY1" s="98">
        <v>96</v>
      </c>
      <c r="CZ1" s="98">
        <v>97</v>
      </c>
      <c r="DA1" s="98">
        <v>98</v>
      </c>
      <c r="DB1" s="98">
        <v>99</v>
      </c>
      <c r="DC1" s="98">
        <v>100</v>
      </c>
      <c r="DD1" s="98">
        <v>101</v>
      </c>
      <c r="DE1" s="98">
        <v>102</v>
      </c>
      <c r="DF1" s="98">
        <v>103</v>
      </c>
      <c r="DG1" s="98">
        <v>104</v>
      </c>
      <c r="DH1" s="98">
        <v>105</v>
      </c>
      <c r="DI1" s="98">
        <v>106</v>
      </c>
      <c r="DJ1" s="98">
        <v>107</v>
      </c>
      <c r="DK1" s="98">
        <v>108</v>
      </c>
      <c r="DL1" s="98">
        <v>109</v>
      </c>
      <c r="DM1" s="98">
        <v>110</v>
      </c>
      <c r="DN1" s="98">
        <v>111</v>
      </c>
      <c r="DO1" s="98">
        <v>112</v>
      </c>
      <c r="DP1" s="98">
        <v>113</v>
      </c>
      <c r="DQ1" s="98">
        <v>114</v>
      </c>
      <c r="DR1" s="98">
        <v>115</v>
      </c>
      <c r="DS1" s="98">
        <v>116</v>
      </c>
      <c r="DT1" s="98">
        <v>117</v>
      </c>
      <c r="DU1" s="98">
        <v>118</v>
      </c>
      <c r="DV1" s="98">
        <v>119</v>
      </c>
      <c r="DW1" s="98">
        <v>120</v>
      </c>
      <c r="DX1" s="98">
        <v>121</v>
      </c>
      <c r="DY1" s="98">
        <v>122</v>
      </c>
      <c r="DZ1" s="98">
        <v>123</v>
      </c>
      <c r="EA1" s="98">
        <v>124</v>
      </c>
      <c r="EB1" s="98">
        <v>125</v>
      </c>
      <c r="EC1" s="98">
        <v>126</v>
      </c>
      <c r="ED1" s="98">
        <v>127</v>
      </c>
      <c r="EE1" s="98">
        <v>128</v>
      </c>
      <c r="EF1" s="98">
        <v>129</v>
      </c>
      <c r="EG1" s="98">
        <v>130</v>
      </c>
      <c r="EH1" s="98">
        <v>131</v>
      </c>
      <c r="EI1" s="98">
        <v>132</v>
      </c>
      <c r="EJ1" s="98">
        <v>133</v>
      </c>
      <c r="EK1" s="98">
        <v>134</v>
      </c>
      <c r="EL1" s="98">
        <v>135</v>
      </c>
      <c r="EM1" s="98">
        <v>136</v>
      </c>
      <c r="EN1" s="98">
        <v>137</v>
      </c>
      <c r="EO1" s="98">
        <v>138</v>
      </c>
      <c r="EP1" s="98">
        <v>139</v>
      </c>
      <c r="EQ1" s="98">
        <v>140</v>
      </c>
      <c r="ER1" s="98">
        <v>141</v>
      </c>
      <c r="ES1" s="98">
        <v>142</v>
      </c>
      <c r="ET1" s="98">
        <v>143</v>
      </c>
      <c r="EU1" s="98">
        <v>144</v>
      </c>
      <c r="EV1" s="98">
        <v>145</v>
      </c>
      <c r="EW1" s="98">
        <v>146</v>
      </c>
      <c r="EX1" s="98">
        <v>147</v>
      </c>
      <c r="EY1" s="98">
        <v>148</v>
      </c>
      <c r="EZ1" s="98">
        <v>149</v>
      </c>
      <c r="FA1" s="98">
        <v>150</v>
      </c>
      <c r="FB1" s="98">
        <v>151</v>
      </c>
      <c r="FC1" s="98">
        <v>152</v>
      </c>
      <c r="FD1" s="98">
        <v>153</v>
      </c>
      <c r="FE1" s="98">
        <v>154</v>
      </c>
      <c r="FF1" s="98">
        <v>155</v>
      </c>
      <c r="FG1" s="98">
        <v>156</v>
      </c>
      <c r="FH1" s="98">
        <v>157</v>
      </c>
      <c r="FI1" s="98">
        <v>158</v>
      </c>
      <c r="FJ1" s="98">
        <v>159</v>
      </c>
      <c r="FK1" s="98">
        <v>160</v>
      </c>
      <c r="FL1" s="98">
        <v>161</v>
      </c>
      <c r="FM1" s="98">
        <v>162</v>
      </c>
      <c r="FN1" s="98">
        <v>163</v>
      </c>
      <c r="FO1" s="98">
        <v>164</v>
      </c>
      <c r="FP1" s="98">
        <v>165</v>
      </c>
      <c r="FQ1" s="98">
        <v>166</v>
      </c>
      <c r="FR1" s="98">
        <v>167</v>
      </c>
      <c r="FS1" s="98">
        <v>168</v>
      </c>
      <c r="FT1" s="98">
        <v>169</v>
      </c>
      <c r="FU1" s="98">
        <v>170</v>
      </c>
      <c r="FV1" s="98">
        <v>171</v>
      </c>
      <c r="FW1" s="98">
        <v>172</v>
      </c>
      <c r="FX1" s="98">
        <v>173</v>
      </c>
      <c r="FY1" s="98">
        <v>174</v>
      </c>
      <c r="FZ1" s="98">
        <v>175</v>
      </c>
      <c r="GA1" s="98">
        <v>176</v>
      </c>
      <c r="GB1" s="98">
        <v>177</v>
      </c>
      <c r="GC1" s="98">
        <v>178</v>
      </c>
      <c r="GD1" s="98">
        <v>179</v>
      </c>
      <c r="GE1" s="98">
        <v>180</v>
      </c>
      <c r="GF1" s="98">
        <v>181</v>
      </c>
      <c r="GG1" s="98">
        <v>182</v>
      </c>
      <c r="GH1" s="98">
        <v>183</v>
      </c>
      <c r="GI1" s="98">
        <v>184</v>
      </c>
      <c r="GJ1" s="98">
        <v>185</v>
      </c>
      <c r="GK1" s="98">
        <v>186</v>
      </c>
      <c r="GL1" s="98">
        <v>187</v>
      </c>
      <c r="GM1" s="98">
        <v>188</v>
      </c>
      <c r="GN1" s="98">
        <v>189</v>
      </c>
      <c r="GO1" s="98">
        <v>190</v>
      </c>
      <c r="GP1" s="98">
        <v>191</v>
      </c>
      <c r="GQ1" s="98">
        <v>192</v>
      </c>
      <c r="GR1" s="98">
        <v>193</v>
      </c>
      <c r="GS1" s="98">
        <v>194</v>
      </c>
      <c r="GT1" s="98">
        <v>195</v>
      </c>
      <c r="GU1" s="98">
        <v>196</v>
      </c>
      <c r="GV1" s="98" t="s">
        <v>152</v>
      </c>
      <c r="GW1" s="98" t="s">
        <v>145</v>
      </c>
      <c r="GX1" s="98" t="s">
        <v>146</v>
      </c>
      <c r="GY1" s="98" t="s">
        <v>46</v>
      </c>
      <c r="GZ1" s="98">
        <v>1</v>
      </c>
      <c r="HA1" s="98">
        <v>2</v>
      </c>
      <c r="HB1" s="98">
        <v>3</v>
      </c>
      <c r="HC1" s="98">
        <v>4</v>
      </c>
      <c r="HD1" s="98">
        <v>5</v>
      </c>
      <c r="HE1" s="98">
        <v>6</v>
      </c>
      <c r="HF1" s="98">
        <v>7</v>
      </c>
      <c r="HG1" s="98">
        <v>8</v>
      </c>
      <c r="HH1" s="98">
        <v>9</v>
      </c>
      <c r="HI1" s="98">
        <v>10</v>
      </c>
      <c r="HJ1" s="98">
        <v>11</v>
      </c>
      <c r="HK1" s="98">
        <v>12</v>
      </c>
      <c r="HL1" s="98">
        <v>13</v>
      </c>
      <c r="HM1" s="98">
        <v>14</v>
      </c>
      <c r="HN1" s="98">
        <v>15</v>
      </c>
      <c r="HO1" s="98">
        <v>16</v>
      </c>
      <c r="HP1" s="98">
        <v>17</v>
      </c>
      <c r="HQ1" s="98">
        <v>18</v>
      </c>
      <c r="HR1" s="98">
        <v>19</v>
      </c>
      <c r="HS1" s="98">
        <v>20</v>
      </c>
      <c r="HT1" s="98">
        <v>21</v>
      </c>
      <c r="HU1" s="98">
        <v>22</v>
      </c>
      <c r="HV1" s="98">
        <v>23</v>
      </c>
      <c r="HW1" s="98">
        <v>24</v>
      </c>
      <c r="HX1" s="98">
        <v>25</v>
      </c>
      <c r="HY1" s="98">
        <v>26</v>
      </c>
      <c r="HZ1" s="98">
        <v>27</v>
      </c>
      <c r="IA1" s="98">
        <v>28</v>
      </c>
      <c r="IB1" s="98">
        <v>29</v>
      </c>
      <c r="IC1" s="98">
        <v>30</v>
      </c>
      <c r="ID1" s="98">
        <v>31</v>
      </c>
      <c r="IE1" s="98">
        <v>32</v>
      </c>
      <c r="IF1" s="98">
        <v>33</v>
      </c>
      <c r="IG1" s="98">
        <v>34</v>
      </c>
      <c r="IH1" s="98">
        <v>35</v>
      </c>
      <c r="II1" s="98">
        <v>36</v>
      </c>
      <c r="IJ1" s="98">
        <v>37</v>
      </c>
      <c r="IK1" s="98">
        <v>38</v>
      </c>
      <c r="IL1" s="98">
        <v>39</v>
      </c>
      <c r="IM1" s="98">
        <v>40</v>
      </c>
      <c r="IN1" s="98">
        <v>41</v>
      </c>
      <c r="IO1" s="98">
        <v>42</v>
      </c>
      <c r="IP1" s="98">
        <v>43</v>
      </c>
      <c r="IQ1" s="98">
        <v>44</v>
      </c>
      <c r="IR1" s="98">
        <v>45</v>
      </c>
      <c r="IS1" s="98">
        <v>46</v>
      </c>
      <c r="IT1" s="98">
        <v>47</v>
      </c>
      <c r="IU1" s="98">
        <v>48</v>
      </c>
      <c r="IV1" s="98">
        <v>49</v>
      </c>
      <c r="IW1" s="98">
        <v>50</v>
      </c>
      <c r="IX1" s="98">
        <v>51</v>
      </c>
      <c r="IY1" s="98">
        <v>52</v>
      </c>
      <c r="IZ1" s="98">
        <v>53</v>
      </c>
      <c r="JA1" s="98">
        <v>54</v>
      </c>
      <c r="JB1" s="98">
        <v>55</v>
      </c>
      <c r="JC1" s="98">
        <v>56</v>
      </c>
      <c r="JD1" s="98">
        <v>57</v>
      </c>
      <c r="JE1" s="98">
        <v>58</v>
      </c>
      <c r="JF1" s="98">
        <v>59</v>
      </c>
      <c r="JG1" s="98">
        <v>60</v>
      </c>
      <c r="JH1" s="98">
        <v>61</v>
      </c>
      <c r="JI1" s="98">
        <v>62</v>
      </c>
      <c r="JJ1" s="98">
        <v>63</v>
      </c>
      <c r="JK1" s="98">
        <v>64</v>
      </c>
      <c r="JL1" s="98">
        <v>65</v>
      </c>
      <c r="JM1" s="98">
        <v>66</v>
      </c>
      <c r="JN1" s="98">
        <v>67</v>
      </c>
      <c r="JO1" s="98">
        <v>68</v>
      </c>
      <c r="JP1" s="98">
        <v>69</v>
      </c>
      <c r="JQ1" s="98">
        <v>70</v>
      </c>
      <c r="JR1" s="98">
        <v>71</v>
      </c>
      <c r="JS1" s="98">
        <v>72</v>
      </c>
      <c r="JT1" s="98">
        <v>73</v>
      </c>
      <c r="JU1" s="98">
        <v>74</v>
      </c>
      <c r="JV1" s="98">
        <v>75</v>
      </c>
      <c r="JW1" s="98">
        <v>76</v>
      </c>
      <c r="JX1" s="98">
        <v>77</v>
      </c>
      <c r="JY1" s="98">
        <v>78</v>
      </c>
      <c r="JZ1" s="98">
        <v>79</v>
      </c>
      <c r="KA1" s="98">
        <v>80</v>
      </c>
      <c r="KB1" s="98">
        <v>81</v>
      </c>
      <c r="KC1" s="98">
        <v>82</v>
      </c>
      <c r="KD1" s="98">
        <v>83</v>
      </c>
      <c r="KE1" s="98">
        <v>84</v>
      </c>
      <c r="KF1" s="98">
        <v>85</v>
      </c>
      <c r="KG1" s="98">
        <v>86</v>
      </c>
      <c r="KH1" s="98">
        <v>87</v>
      </c>
      <c r="KI1" s="98">
        <v>88</v>
      </c>
      <c r="KJ1" s="98">
        <v>89</v>
      </c>
      <c r="KK1" s="98">
        <v>90</v>
      </c>
      <c r="KL1" s="98">
        <v>91</v>
      </c>
      <c r="KM1" s="98">
        <v>92</v>
      </c>
      <c r="KN1" s="98">
        <v>93</v>
      </c>
      <c r="KO1" s="98">
        <v>94</v>
      </c>
      <c r="KP1" s="98">
        <v>95</v>
      </c>
      <c r="KQ1" s="98">
        <v>96</v>
      </c>
      <c r="KR1" s="98">
        <v>97</v>
      </c>
      <c r="KS1" s="98">
        <v>98</v>
      </c>
      <c r="KT1" s="98">
        <v>99</v>
      </c>
      <c r="KU1" s="98">
        <v>100</v>
      </c>
      <c r="KV1" s="98">
        <v>101</v>
      </c>
      <c r="KW1" s="98">
        <v>102</v>
      </c>
      <c r="KX1" s="98">
        <v>103</v>
      </c>
      <c r="KY1" s="98">
        <v>104</v>
      </c>
      <c r="KZ1" s="98">
        <v>105</v>
      </c>
      <c r="LA1" s="98">
        <v>106</v>
      </c>
      <c r="LB1" s="98">
        <v>107</v>
      </c>
      <c r="LC1" s="98">
        <v>108</v>
      </c>
      <c r="LD1" s="98">
        <v>109</v>
      </c>
      <c r="LE1" s="98">
        <v>110</v>
      </c>
      <c r="LF1" s="98">
        <v>111</v>
      </c>
      <c r="LG1" s="98">
        <v>112</v>
      </c>
      <c r="LH1" s="98">
        <v>113</v>
      </c>
      <c r="LI1" s="98">
        <v>114</v>
      </c>
      <c r="LJ1" s="98">
        <v>115</v>
      </c>
      <c r="LK1" s="98">
        <v>116</v>
      </c>
      <c r="LL1" s="98">
        <v>117</v>
      </c>
      <c r="LM1" s="98">
        <v>118</v>
      </c>
      <c r="LN1" s="98">
        <v>119</v>
      </c>
      <c r="LO1" s="98">
        <v>120</v>
      </c>
      <c r="LP1" s="98">
        <v>121</v>
      </c>
      <c r="LQ1" s="98">
        <v>122</v>
      </c>
      <c r="LR1" s="98">
        <v>123</v>
      </c>
      <c r="LS1" s="98">
        <v>124</v>
      </c>
      <c r="LT1" s="98">
        <v>125</v>
      </c>
      <c r="LU1" s="98">
        <v>126</v>
      </c>
      <c r="LV1" s="98">
        <v>127</v>
      </c>
      <c r="LW1" s="98">
        <v>128</v>
      </c>
      <c r="LX1" s="98">
        <v>129</v>
      </c>
      <c r="LY1" s="98">
        <v>130</v>
      </c>
      <c r="LZ1" s="98">
        <v>131</v>
      </c>
      <c r="MA1" s="98">
        <v>132</v>
      </c>
      <c r="MB1" s="98">
        <v>133</v>
      </c>
      <c r="MC1" s="98">
        <v>134</v>
      </c>
      <c r="MD1" s="98">
        <v>135</v>
      </c>
      <c r="ME1" s="98">
        <v>136</v>
      </c>
      <c r="MF1" s="98">
        <v>137</v>
      </c>
      <c r="MG1" s="98">
        <v>138</v>
      </c>
      <c r="MH1" s="98">
        <v>139</v>
      </c>
      <c r="MI1" s="98">
        <v>140</v>
      </c>
      <c r="MJ1" s="98">
        <v>141</v>
      </c>
      <c r="MK1" s="98">
        <v>142</v>
      </c>
      <c r="ML1" s="98">
        <v>143</v>
      </c>
      <c r="MM1" s="98">
        <v>144</v>
      </c>
      <c r="MN1" s="98">
        <v>145</v>
      </c>
      <c r="MO1" s="98">
        <v>146</v>
      </c>
      <c r="MP1" s="98">
        <v>147</v>
      </c>
      <c r="MQ1" s="98">
        <v>148</v>
      </c>
      <c r="MR1" s="98">
        <v>149</v>
      </c>
      <c r="MS1" s="98">
        <v>150</v>
      </c>
      <c r="MT1" s="98">
        <v>151</v>
      </c>
      <c r="MU1" s="98">
        <v>152</v>
      </c>
      <c r="MV1" s="98">
        <v>153</v>
      </c>
      <c r="MW1" s="98">
        <v>154</v>
      </c>
      <c r="MX1" s="98">
        <v>155</v>
      </c>
      <c r="MY1" s="98">
        <v>156</v>
      </c>
      <c r="MZ1" s="98">
        <v>157</v>
      </c>
      <c r="NA1" s="98">
        <v>158</v>
      </c>
      <c r="NB1" s="98">
        <v>159</v>
      </c>
      <c r="NC1" s="98">
        <v>160</v>
      </c>
      <c r="ND1" s="98">
        <v>161</v>
      </c>
      <c r="NE1" s="98">
        <v>162</v>
      </c>
      <c r="NF1" s="98">
        <v>163</v>
      </c>
      <c r="NG1" s="98">
        <v>164</v>
      </c>
      <c r="NH1" s="98">
        <v>165</v>
      </c>
      <c r="NI1" s="98">
        <v>166</v>
      </c>
      <c r="NJ1" s="98">
        <v>167</v>
      </c>
      <c r="NK1" s="98">
        <v>168</v>
      </c>
      <c r="NL1" s="98">
        <v>169</v>
      </c>
      <c r="NM1" s="98">
        <v>170</v>
      </c>
      <c r="NN1" s="98">
        <v>171</v>
      </c>
      <c r="NO1" s="98">
        <v>172</v>
      </c>
      <c r="NP1" s="98">
        <v>173</v>
      </c>
      <c r="NQ1" s="98">
        <v>174</v>
      </c>
      <c r="NR1" s="98">
        <v>175</v>
      </c>
      <c r="NS1" s="98">
        <v>176</v>
      </c>
      <c r="NT1" s="98">
        <v>177</v>
      </c>
      <c r="NU1" s="98">
        <v>178</v>
      </c>
      <c r="NV1" s="98">
        <v>179</v>
      </c>
      <c r="NW1" s="98">
        <v>180</v>
      </c>
      <c r="NX1" s="98">
        <v>181</v>
      </c>
      <c r="NY1" s="98">
        <v>182</v>
      </c>
      <c r="NZ1" s="98">
        <v>183</v>
      </c>
      <c r="OA1" s="98">
        <v>184</v>
      </c>
      <c r="OB1" s="98">
        <v>185</v>
      </c>
      <c r="OC1" s="98">
        <v>186</v>
      </c>
      <c r="OD1" s="98">
        <v>187</v>
      </c>
      <c r="OE1" s="98">
        <v>188</v>
      </c>
      <c r="OF1" s="98">
        <v>189</v>
      </c>
      <c r="OG1" s="98">
        <v>190</v>
      </c>
      <c r="OH1" s="98">
        <v>191</v>
      </c>
      <c r="OI1" s="98">
        <v>192</v>
      </c>
      <c r="OJ1" s="98">
        <v>193</v>
      </c>
      <c r="OK1" s="98">
        <v>194</v>
      </c>
      <c r="OL1" s="98">
        <v>195</v>
      </c>
      <c r="OM1" s="98">
        <v>196</v>
      </c>
      <c r="ON1" s="98">
        <v>197</v>
      </c>
      <c r="OO1" s="98">
        <v>198</v>
      </c>
      <c r="OP1" s="98">
        <v>199</v>
      </c>
      <c r="OQ1" s="98">
        <v>200</v>
      </c>
      <c r="OR1" s="98">
        <v>201</v>
      </c>
      <c r="OS1" s="98">
        <v>202</v>
      </c>
      <c r="OT1" s="98">
        <v>203</v>
      </c>
      <c r="OU1" s="98">
        <v>204</v>
      </c>
      <c r="OV1" s="98">
        <v>205</v>
      </c>
      <c r="OW1" s="98">
        <v>206</v>
      </c>
      <c r="OX1" s="98">
        <v>207</v>
      </c>
      <c r="OY1" s="98">
        <v>208</v>
      </c>
      <c r="OZ1" s="98">
        <v>209</v>
      </c>
      <c r="PA1" s="98">
        <v>210</v>
      </c>
      <c r="PB1" s="98">
        <v>211</v>
      </c>
      <c r="PC1" s="98">
        <v>212</v>
      </c>
      <c r="PD1" s="98">
        <v>213</v>
      </c>
      <c r="PE1" s="98">
        <v>214</v>
      </c>
      <c r="PF1" s="98">
        <v>215</v>
      </c>
      <c r="PG1" s="98">
        <v>216</v>
      </c>
      <c r="PH1" s="98">
        <v>217</v>
      </c>
      <c r="PI1" s="98">
        <v>218</v>
      </c>
      <c r="PJ1" s="98">
        <v>219</v>
      </c>
      <c r="PK1" s="98">
        <v>220</v>
      </c>
      <c r="PL1" s="98">
        <v>221</v>
      </c>
      <c r="PM1" s="98">
        <v>222</v>
      </c>
      <c r="PN1" s="98">
        <v>223</v>
      </c>
      <c r="PO1" s="98">
        <v>224</v>
      </c>
      <c r="PP1" s="98">
        <v>225</v>
      </c>
      <c r="PQ1" s="98">
        <v>226</v>
      </c>
      <c r="PR1" s="98">
        <v>227</v>
      </c>
      <c r="PS1" s="98">
        <v>228</v>
      </c>
      <c r="PT1" s="98">
        <v>229</v>
      </c>
      <c r="PU1" s="98">
        <v>230</v>
      </c>
      <c r="PV1" s="98">
        <v>231</v>
      </c>
      <c r="PW1" s="98">
        <v>232</v>
      </c>
      <c r="PX1" s="98">
        <v>233</v>
      </c>
      <c r="PY1" s="98">
        <v>234</v>
      </c>
      <c r="PZ1" s="98">
        <v>235</v>
      </c>
      <c r="QA1" s="98">
        <v>236</v>
      </c>
      <c r="QB1" s="98">
        <v>237</v>
      </c>
      <c r="QC1" s="98">
        <v>238</v>
      </c>
      <c r="QD1" s="98">
        <v>239</v>
      </c>
      <c r="QE1" s="98">
        <v>240</v>
      </c>
      <c r="QF1" s="98">
        <v>241</v>
      </c>
      <c r="QG1" s="98">
        <v>242</v>
      </c>
      <c r="QH1" s="98">
        <v>243</v>
      </c>
      <c r="QI1" s="98">
        <v>244</v>
      </c>
      <c r="QJ1" s="98">
        <v>245</v>
      </c>
      <c r="QK1" s="98">
        <v>246</v>
      </c>
      <c r="QL1" s="98">
        <v>247</v>
      </c>
      <c r="QM1" s="98">
        <v>248</v>
      </c>
      <c r="QN1" s="98">
        <v>249</v>
      </c>
      <c r="QO1" s="98">
        <v>250</v>
      </c>
      <c r="QP1" s="98">
        <v>251</v>
      </c>
      <c r="QQ1" s="98">
        <v>252</v>
      </c>
      <c r="QR1" s="98">
        <v>253</v>
      </c>
      <c r="QS1" s="98">
        <v>254</v>
      </c>
      <c r="QT1" s="98">
        <v>255</v>
      </c>
      <c r="QU1" s="98">
        <v>256</v>
      </c>
      <c r="QV1" s="98">
        <v>257</v>
      </c>
      <c r="QW1" s="98">
        <v>258</v>
      </c>
      <c r="QX1" s="98">
        <v>259</v>
      </c>
      <c r="QY1" s="98">
        <v>260</v>
      </c>
      <c r="QZ1" s="98">
        <v>261</v>
      </c>
      <c r="RA1" s="98">
        <v>262</v>
      </c>
      <c r="RB1" s="98">
        <v>263</v>
      </c>
      <c r="RC1" s="98">
        <v>264</v>
      </c>
      <c r="RD1" s="98">
        <v>265</v>
      </c>
      <c r="RE1" s="98">
        <v>266</v>
      </c>
      <c r="RF1" s="98">
        <v>267</v>
      </c>
      <c r="RG1" s="98">
        <v>268</v>
      </c>
      <c r="RH1" s="98">
        <v>269</v>
      </c>
      <c r="RI1" s="98">
        <v>270</v>
      </c>
      <c r="RJ1" s="98">
        <v>271</v>
      </c>
      <c r="RK1" s="98">
        <v>272</v>
      </c>
      <c r="RL1" s="98">
        <v>273</v>
      </c>
      <c r="RM1" s="98">
        <v>274</v>
      </c>
      <c r="RN1" s="98">
        <v>275</v>
      </c>
      <c r="RO1" s="98">
        <v>276</v>
      </c>
      <c r="RP1" s="98">
        <v>277</v>
      </c>
      <c r="RQ1" s="98">
        <v>278</v>
      </c>
      <c r="RR1" s="98">
        <v>279</v>
      </c>
      <c r="RS1" s="98">
        <v>280</v>
      </c>
      <c r="RT1" s="98">
        <v>281</v>
      </c>
      <c r="RU1" s="98">
        <v>282</v>
      </c>
      <c r="RV1" s="98">
        <v>283</v>
      </c>
      <c r="RW1" s="98">
        <v>284</v>
      </c>
      <c r="RX1" s="98">
        <v>285</v>
      </c>
      <c r="RY1" s="98">
        <v>286</v>
      </c>
      <c r="RZ1" s="98">
        <v>287</v>
      </c>
      <c r="SA1" s="98">
        <v>288</v>
      </c>
      <c r="SB1" s="98">
        <v>289</v>
      </c>
      <c r="SC1" s="98">
        <v>290</v>
      </c>
      <c r="SD1" s="98">
        <v>291</v>
      </c>
      <c r="SE1" s="98">
        <v>292</v>
      </c>
      <c r="SF1" s="98">
        <v>293</v>
      </c>
      <c r="SG1" s="98">
        <v>294</v>
      </c>
      <c r="SH1" s="98">
        <v>295</v>
      </c>
      <c r="SI1" s="98">
        <v>296</v>
      </c>
      <c r="SJ1" s="98">
        <v>297</v>
      </c>
      <c r="SK1" s="98">
        <v>298</v>
      </c>
      <c r="SL1" s="98">
        <v>299</v>
      </c>
      <c r="SM1" s="98">
        <v>300</v>
      </c>
      <c r="SN1" s="98">
        <v>301</v>
      </c>
      <c r="SO1" s="98">
        <v>302</v>
      </c>
      <c r="SP1" s="98">
        <v>303</v>
      </c>
      <c r="SQ1" s="98">
        <v>304</v>
      </c>
      <c r="SR1" s="98">
        <v>305</v>
      </c>
      <c r="SS1" s="98">
        <v>306</v>
      </c>
      <c r="ST1" s="98">
        <v>307</v>
      </c>
      <c r="SU1" s="98">
        <v>308</v>
      </c>
      <c r="SV1" s="98">
        <v>309</v>
      </c>
      <c r="SW1" s="98">
        <v>310</v>
      </c>
      <c r="SX1" s="98">
        <v>311</v>
      </c>
      <c r="SY1" s="98">
        <v>312</v>
      </c>
      <c r="SZ1" s="98">
        <v>313</v>
      </c>
      <c r="TA1" s="98">
        <v>314</v>
      </c>
      <c r="TB1" s="98">
        <v>315</v>
      </c>
      <c r="TC1" s="98">
        <v>316</v>
      </c>
      <c r="TD1" s="98">
        <v>317</v>
      </c>
      <c r="TE1" s="98">
        <v>318</v>
      </c>
      <c r="TF1" s="98">
        <v>319</v>
      </c>
      <c r="TG1" s="98">
        <v>320</v>
      </c>
      <c r="TH1" s="98">
        <v>321</v>
      </c>
      <c r="TI1" s="98">
        <v>322</v>
      </c>
      <c r="TJ1" s="98">
        <v>323</v>
      </c>
      <c r="TK1" s="98">
        <v>324</v>
      </c>
      <c r="TL1" s="98">
        <v>325</v>
      </c>
      <c r="TM1" s="98">
        <v>326</v>
      </c>
      <c r="TN1" s="98">
        <v>327</v>
      </c>
      <c r="TO1" s="98">
        <v>328</v>
      </c>
      <c r="TP1" s="98">
        <v>329</v>
      </c>
      <c r="TQ1" s="98">
        <v>330</v>
      </c>
      <c r="TR1" s="98">
        <v>331</v>
      </c>
      <c r="TS1" s="98">
        <v>332</v>
      </c>
      <c r="TT1" s="98">
        <v>333</v>
      </c>
      <c r="TU1" s="98">
        <v>334</v>
      </c>
      <c r="TV1" s="98">
        <v>335</v>
      </c>
      <c r="TW1" s="98">
        <v>336</v>
      </c>
      <c r="TX1" s="98">
        <v>337</v>
      </c>
      <c r="TY1" s="98">
        <v>338</v>
      </c>
      <c r="TZ1" s="98">
        <v>339</v>
      </c>
      <c r="UA1" s="98">
        <v>340</v>
      </c>
      <c r="UB1" s="98">
        <v>341</v>
      </c>
      <c r="UC1" s="98">
        <v>342</v>
      </c>
      <c r="UD1" s="98">
        <v>343</v>
      </c>
      <c r="UE1" s="98">
        <v>344</v>
      </c>
      <c r="UF1" s="98">
        <v>345</v>
      </c>
      <c r="UG1" s="98">
        <v>346</v>
      </c>
      <c r="UH1" s="98">
        <v>347</v>
      </c>
      <c r="UI1" s="98">
        <v>348</v>
      </c>
      <c r="UJ1" s="98">
        <v>349</v>
      </c>
      <c r="UK1" s="98">
        <v>350</v>
      </c>
      <c r="UL1" s="98">
        <v>351</v>
      </c>
      <c r="UM1" s="98">
        <v>352</v>
      </c>
      <c r="UN1" s="98">
        <v>353</v>
      </c>
      <c r="UO1" s="98">
        <v>354</v>
      </c>
      <c r="UP1" s="98">
        <v>355</v>
      </c>
      <c r="UQ1" s="98">
        <v>356</v>
      </c>
      <c r="UR1" s="98">
        <v>357</v>
      </c>
      <c r="US1" s="98">
        <v>358</v>
      </c>
      <c r="UT1" s="98">
        <v>359</v>
      </c>
      <c r="UU1" s="98">
        <v>360</v>
      </c>
      <c r="UV1" s="98">
        <v>361</v>
      </c>
      <c r="UW1" s="98">
        <v>362</v>
      </c>
      <c r="UX1" s="98">
        <v>363</v>
      </c>
      <c r="UY1" s="98">
        <v>364</v>
      </c>
      <c r="UZ1" s="98">
        <v>365</v>
      </c>
      <c r="VA1" s="98">
        <v>366</v>
      </c>
      <c r="VB1" s="98">
        <v>367</v>
      </c>
      <c r="VC1" s="98">
        <v>368</v>
      </c>
      <c r="VD1" s="98">
        <v>369</v>
      </c>
      <c r="VE1" s="98">
        <v>370</v>
      </c>
      <c r="VF1" s="98">
        <v>371</v>
      </c>
      <c r="VG1" s="98">
        <v>372</v>
      </c>
      <c r="VH1" s="98">
        <v>373</v>
      </c>
      <c r="VI1" s="98">
        <v>374</v>
      </c>
      <c r="VJ1" s="98">
        <v>375</v>
      </c>
      <c r="VK1" s="98">
        <v>376</v>
      </c>
      <c r="VL1" s="98">
        <v>377</v>
      </c>
      <c r="VM1" s="98">
        <v>378</v>
      </c>
      <c r="VN1" s="98">
        <v>379</v>
      </c>
      <c r="VO1" s="98">
        <v>380</v>
      </c>
      <c r="VP1" s="98">
        <v>381</v>
      </c>
      <c r="VQ1" s="98">
        <v>382</v>
      </c>
      <c r="VR1" s="98">
        <v>383</v>
      </c>
      <c r="VS1" s="98">
        <v>384</v>
      </c>
      <c r="VT1" s="98">
        <v>385</v>
      </c>
      <c r="VU1" s="98">
        <v>386</v>
      </c>
      <c r="VV1" s="98">
        <v>387</v>
      </c>
      <c r="VW1" s="98">
        <v>388</v>
      </c>
      <c r="VX1" s="98">
        <v>389</v>
      </c>
      <c r="VY1" s="98">
        <v>390</v>
      </c>
      <c r="VZ1" s="98">
        <v>391</v>
      </c>
      <c r="WA1" s="98">
        <v>392</v>
      </c>
      <c r="WB1" s="98">
        <v>393</v>
      </c>
      <c r="WC1" s="98">
        <v>394</v>
      </c>
      <c r="WD1" s="98">
        <v>395</v>
      </c>
      <c r="WE1" s="98">
        <v>396</v>
      </c>
      <c r="WF1" s="98">
        <v>397</v>
      </c>
      <c r="WG1" s="98">
        <v>398</v>
      </c>
      <c r="WH1" s="98">
        <v>399</v>
      </c>
      <c r="WI1" s="98">
        <v>400</v>
      </c>
      <c r="WJ1" s="98">
        <v>401</v>
      </c>
      <c r="WK1" s="98">
        <v>402</v>
      </c>
      <c r="WL1" s="98">
        <v>403</v>
      </c>
      <c r="WM1" s="98">
        <v>404</v>
      </c>
      <c r="WN1" s="98">
        <v>405</v>
      </c>
      <c r="WO1" s="98">
        <v>406</v>
      </c>
      <c r="WP1" s="98">
        <v>407</v>
      </c>
      <c r="WQ1" s="98">
        <v>408</v>
      </c>
      <c r="WR1" s="98">
        <v>409</v>
      </c>
      <c r="WS1" s="98">
        <v>410</v>
      </c>
      <c r="WT1" s="98">
        <v>411</v>
      </c>
      <c r="WU1" s="98">
        <v>412</v>
      </c>
      <c r="WV1" s="98">
        <v>413</v>
      </c>
      <c r="WW1" s="98">
        <v>414</v>
      </c>
      <c r="WX1" s="98">
        <v>415</v>
      </c>
      <c r="WY1" s="98">
        <v>416</v>
      </c>
      <c r="WZ1" s="98">
        <v>417</v>
      </c>
      <c r="XA1" s="98">
        <v>418</v>
      </c>
      <c r="XB1" s="98">
        <v>419</v>
      </c>
      <c r="XC1" s="98">
        <v>420</v>
      </c>
      <c r="XD1" s="98">
        <v>421</v>
      </c>
      <c r="XE1" s="98">
        <v>422</v>
      </c>
      <c r="XF1" s="98">
        <v>423</v>
      </c>
      <c r="XG1" s="98">
        <v>424</v>
      </c>
      <c r="XH1" s="98">
        <v>425</v>
      </c>
      <c r="XI1" s="98">
        <v>426</v>
      </c>
      <c r="XJ1" s="98">
        <v>427</v>
      </c>
      <c r="XK1" s="98">
        <v>428</v>
      </c>
      <c r="XL1" s="98">
        <v>429</v>
      </c>
      <c r="XM1" s="98">
        <v>430</v>
      </c>
      <c r="XN1" s="98">
        <v>431</v>
      </c>
      <c r="XO1" s="98">
        <v>432</v>
      </c>
      <c r="XP1" s="98">
        <v>433</v>
      </c>
      <c r="XQ1" s="98">
        <v>434</v>
      </c>
      <c r="XR1" s="98">
        <v>435</v>
      </c>
      <c r="XS1" s="98">
        <v>436</v>
      </c>
      <c r="XT1" s="98">
        <v>437</v>
      </c>
      <c r="XU1" s="98">
        <v>438</v>
      </c>
      <c r="XV1" s="98">
        <v>439</v>
      </c>
      <c r="XW1" s="98">
        <v>440</v>
      </c>
      <c r="XX1" s="98">
        <v>441</v>
      </c>
      <c r="XY1" s="98">
        <v>442</v>
      </c>
      <c r="XZ1" s="98">
        <v>443</v>
      </c>
      <c r="YA1" s="98">
        <v>444</v>
      </c>
      <c r="YB1" s="98">
        <v>445</v>
      </c>
      <c r="YC1" s="98">
        <v>446</v>
      </c>
      <c r="YD1" s="98">
        <v>447</v>
      </c>
      <c r="YE1" s="98">
        <v>448</v>
      </c>
      <c r="YF1" s="98">
        <v>449</v>
      </c>
      <c r="YG1" s="98">
        <v>450</v>
      </c>
      <c r="YH1" s="98">
        <v>451</v>
      </c>
      <c r="YI1" s="98">
        <v>452</v>
      </c>
      <c r="YJ1" s="98">
        <v>453</v>
      </c>
      <c r="YK1" s="98">
        <v>454</v>
      </c>
      <c r="YL1" s="98">
        <v>455</v>
      </c>
      <c r="YM1" s="98">
        <v>456</v>
      </c>
      <c r="YN1" s="98">
        <v>457</v>
      </c>
      <c r="YO1" s="98">
        <v>458</v>
      </c>
      <c r="YP1" s="98">
        <v>459</v>
      </c>
      <c r="YQ1" s="98">
        <v>460</v>
      </c>
      <c r="YR1" s="98">
        <v>461</v>
      </c>
      <c r="YS1" s="98">
        <v>462</v>
      </c>
      <c r="YT1" s="98">
        <v>463</v>
      </c>
      <c r="YU1" s="98">
        <v>464</v>
      </c>
      <c r="YV1" s="98">
        <v>465</v>
      </c>
      <c r="YW1" s="98">
        <v>466</v>
      </c>
      <c r="YX1" s="98">
        <v>467</v>
      </c>
      <c r="YY1" s="98">
        <v>468</v>
      </c>
      <c r="YZ1" s="98">
        <v>469</v>
      </c>
      <c r="ZA1" s="98">
        <v>470</v>
      </c>
      <c r="ZB1" s="98">
        <v>471</v>
      </c>
      <c r="ZC1" s="98">
        <v>472</v>
      </c>
      <c r="ZD1" s="98">
        <v>473</v>
      </c>
      <c r="ZE1" s="98">
        <v>474</v>
      </c>
      <c r="ZF1" s="98">
        <v>475</v>
      </c>
      <c r="ZG1" s="98">
        <v>476</v>
      </c>
      <c r="ZH1" s="98">
        <v>477</v>
      </c>
      <c r="ZI1" s="98">
        <v>478</v>
      </c>
      <c r="ZJ1" s="98">
        <v>479</v>
      </c>
      <c r="ZK1" s="98">
        <v>480</v>
      </c>
      <c r="ZL1" s="98">
        <v>481</v>
      </c>
      <c r="ZM1" s="98">
        <v>482</v>
      </c>
      <c r="ZN1" s="98">
        <v>483</v>
      </c>
      <c r="ZO1" s="98">
        <v>484</v>
      </c>
      <c r="ZP1" s="98">
        <v>485</v>
      </c>
      <c r="ZQ1" s="98">
        <v>486</v>
      </c>
      <c r="ZR1" s="98">
        <v>487</v>
      </c>
      <c r="ZS1" s="98">
        <v>488</v>
      </c>
      <c r="ZT1" s="98">
        <v>489</v>
      </c>
      <c r="ZU1" s="98">
        <v>490</v>
      </c>
      <c r="ZV1" s="98">
        <v>491</v>
      </c>
      <c r="ZW1" s="98">
        <v>492</v>
      </c>
      <c r="ZX1" s="98">
        <v>493</v>
      </c>
      <c r="ZY1" s="98">
        <v>494</v>
      </c>
      <c r="ZZ1" s="98">
        <v>495</v>
      </c>
      <c r="AAA1" s="98">
        <v>496</v>
      </c>
      <c r="AAB1" s="98">
        <v>497</v>
      </c>
      <c r="AAC1" s="98">
        <v>498</v>
      </c>
      <c r="AAD1" s="98">
        <v>499</v>
      </c>
      <c r="AAE1" s="98">
        <v>500</v>
      </c>
      <c r="AAF1" s="98">
        <v>501</v>
      </c>
      <c r="AAG1" s="98">
        <v>502</v>
      </c>
      <c r="AAH1" s="98">
        <v>503</v>
      </c>
      <c r="AAI1" s="98">
        <v>504</v>
      </c>
      <c r="AAJ1" s="98">
        <v>505</v>
      </c>
      <c r="AAK1" s="98">
        <v>506</v>
      </c>
      <c r="AAL1" s="98">
        <v>507</v>
      </c>
      <c r="AAM1" s="98">
        <v>508</v>
      </c>
      <c r="AAN1" s="98">
        <v>509</v>
      </c>
      <c r="AAO1" s="98">
        <v>510</v>
      </c>
      <c r="AAP1" s="98">
        <v>511</v>
      </c>
      <c r="AAQ1" s="98">
        <v>512</v>
      </c>
      <c r="AAR1" s="98">
        <v>513</v>
      </c>
      <c r="AAS1" s="98">
        <v>514</v>
      </c>
      <c r="AAT1" s="98">
        <v>515</v>
      </c>
      <c r="AAU1" s="98">
        <v>516</v>
      </c>
      <c r="AAV1" s="98">
        <v>517</v>
      </c>
      <c r="AAW1" s="98">
        <v>518</v>
      </c>
      <c r="AAX1" s="98">
        <v>519</v>
      </c>
      <c r="AAY1" s="98">
        <v>520</v>
      </c>
      <c r="AAZ1" s="98">
        <v>521</v>
      </c>
      <c r="ABA1" s="98">
        <v>522</v>
      </c>
      <c r="ABB1" s="98">
        <v>523</v>
      </c>
      <c r="ABC1" s="98">
        <v>524</v>
      </c>
      <c r="ABD1" s="98">
        <v>525</v>
      </c>
      <c r="ABE1" s="98">
        <v>526</v>
      </c>
      <c r="ABF1" s="98">
        <v>527</v>
      </c>
      <c r="ABG1" s="98">
        <v>528</v>
      </c>
      <c r="ABH1" s="98">
        <v>529</v>
      </c>
      <c r="ABI1" s="98">
        <v>530</v>
      </c>
      <c r="ABJ1" s="98">
        <v>531</v>
      </c>
      <c r="ABK1" s="98">
        <v>532</v>
      </c>
      <c r="ABL1" s="98">
        <v>533</v>
      </c>
      <c r="ABM1" s="98">
        <v>534</v>
      </c>
      <c r="ABN1" s="98">
        <v>535</v>
      </c>
      <c r="ABO1" s="98">
        <v>536</v>
      </c>
      <c r="ABP1" s="98">
        <v>537</v>
      </c>
      <c r="ABQ1" s="98">
        <v>538</v>
      </c>
      <c r="ABR1" s="98">
        <v>539</v>
      </c>
      <c r="ABS1" s="98">
        <v>540</v>
      </c>
      <c r="ABT1" s="98">
        <v>541</v>
      </c>
      <c r="ABU1" s="98">
        <v>542</v>
      </c>
      <c r="ABV1" s="98">
        <v>543</v>
      </c>
      <c r="ABW1" s="98">
        <v>544</v>
      </c>
      <c r="ABX1" s="98">
        <v>545</v>
      </c>
      <c r="ABY1" s="98">
        <v>546</v>
      </c>
      <c r="ABZ1" s="98">
        <v>547</v>
      </c>
      <c r="ACA1" s="98">
        <v>548</v>
      </c>
      <c r="ACB1" s="98">
        <v>549</v>
      </c>
      <c r="ACC1" s="98">
        <v>550</v>
      </c>
      <c r="ACD1" s="98">
        <v>551</v>
      </c>
      <c r="ACE1" s="98">
        <v>552</v>
      </c>
      <c r="ACF1" s="98">
        <v>553</v>
      </c>
      <c r="ACG1" s="98">
        <v>554</v>
      </c>
      <c r="ACH1" s="98">
        <v>555</v>
      </c>
      <c r="ACI1" s="98">
        <v>556</v>
      </c>
      <c r="ACJ1" s="98">
        <v>557</v>
      </c>
      <c r="ACK1" s="98">
        <v>558</v>
      </c>
      <c r="ACL1" s="98">
        <v>559</v>
      </c>
      <c r="ACM1" s="98">
        <v>560</v>
      </c>
      <c r="ACN1" s="98">
        <v>561</v>
      </c>
      <c r="ACO1" s="98">
        <v>562</v>
      </c>
      <c r="ACP1" s="98">
        <v>563</v>
      </c>
      <c r="ACQ1" s="98">
        <v>564</v>
      </c>
      <c r="ACR1" s="98">
        <v>565</v>
      </c>
      <c r="ACS1" s="98">
        <v>566</v>
      </c>
      <c r="ACT1" s="98">
        <v>567</v>
      </c>
      <c r="ACU1" s="98">
        <v>568</v>
      </c>
      <c r="ACV1" s="98">
        <v>569</v>
      </c>
      <c r="ACW1" s="98">
        <v>570</v>
      </c>
      <c r="ACX1" s="98">
        <v>571</v>
      </c>
      <c r="ACY1" s="98">
        <v>572</v>
      </c>
      <c r="ACZ1" s="98">
        <v>573</v>
      </c>
      <c r="ADA1" s="98">
        <v>574</v>
      </c>
      <c r="ADB1" s="98">
        <v>575</v>
      </c>
      <c r="ADC1" s="98">
        <v>576</v>
      </c>
      <c r="ADD1" s="98">
        <v>577</v>
      </c>
      <c r="ADE1" s="98">
        <v>578</v>
      </c>
      <c r="ADF1" s="98">
        <v>579</v>
      </c>
      <c r="ADG1" s="98">
        <v>580</v>
      </c>
      <c r="ADH1" s="98">
        <v>581</v>
      </c>
      <c r="ADI1" s="98">
        <v>582</v>
      </c>
      <c r="ADJ1" s="98">
        <v>583</v>
      </c>
      <c r="ADK1" s="98">
        <v>584</v>
      </c>
      <c r="ADL1" s="98">
        <v>585</v>
      </c>
      <c r="ADM1" s="98">
        <v>586</v>
      </c>
      <c r="ADN1" s="98">
        <v>587</v>
      </c>
      <c r="ADO1" s="98">
        <v>588</v>
      </c>
      <c r="ADP1" s="98">
        <v>589</v>
      </c>
      <c r="ADQ1" s="98">
        <v>590</v>
      </c>
      <c r="ADR1" s="98">
        <v>591</v>
      </c>
      <c r="ADS1" s="98">
        <v>592</v>
      </c>
      <c r="ADT1" s="98">
        <v>593</v>
      </c>
      <c r="ADU1" s="98">
        <v>594</v>
      </c>
      <c r="ADV1" s="98">
        <v>595</v>
      </c>
      <c r="ADW1" s="98">
        <v>596</v>
      </c>
      <c r="ADX1" s="98">
        <v>597</v>
      </c>
      <c r="ADY1" s="98">
        <v>598</v>
      </c>
      <c r="ADZ1" s="98">
        <v>599</v>
      </c>
      <c r="AEA1" s="98">
        <v>600</v>
      </c>
      <c r="AEB1" s="98">
        <v>601</v>
      </c>
      <c r="AEC1" s="98">
        <v>602</v>
      </c>
      <c r="AED1" s="98">
        <v>603</v>
      </c>
      <c r="AEE1" s="98">
        <v>604</v>
      </c>
      <c r="AEF1" s="98">
        <v>605</v>
      </c>
      <c r="AEG1" s="98">
        <v>606</v>
      </c>
      <c r="AEH1" s="98">
        <v>607</v>
      </c>
      <c r="AEI1" s="98">
        <v>608</v>
      </c>
      <c r="AEJ1" s="98">
        <v>609</v>
      </c>
      <c r="AEK1" s="98">
        <v>610</v>
      </c>
      <c r="AEL1" s="98">
        <v>611</v>
      </c>
      <c r="AEM1" s="98">
        <v>612</v>
      </c>
      <c r="AEN1" s="98">
        <v>613</v>
      </c>
      <c r="AEO1" s="98">
        <v>614</v>
      </c>
      <c r="AEP1" s="98">
        <v>615</v>
      </c>
      <c r="AEQ1" s="98">
        <v>616</v>
      </c>
      <c r="AER1" s="98">
        <v>617</v>
      </c>
      <c r="AES1" s="98">
        <v>618</v>
      </c>
      <c r="AET1" s="98">
        <v>619</v>
      </c>
      <c r="AEU1" s="98">
        <v>620</v>
      </c>
      <c r="AEV1" s="98">
        <v>621</v>
      </c>
      <c r="AEW1" s="98">
        <v>622</v>
      </c>
      <c r="AEX1" s="98">
        <v>623</v>
      </c>
      <c r="AEY1" s="98">
        <v>624</v>
      </c>
      <c r="AEZ1" s="98">
        <v>625</v>
      </c>
      <c r="AFA1" s="98">
        <v>626</v>
      </c>
      <c r="AFB1" s="98">
        <v>627</v>
      </c>
      <c r="AFC1" s="98">
        <v>628</v>
      </c>
      <c r="AFD1" s="98">
        <v>629</v>
      </c>
      <c r="AFE1" s="98">
        <v>630</v>
      </c>
      <c r="AFF1" s="98">
        <v>631</v>
      </c>
      <c r="AFG1" s="98">
        <v>632</v>
      </c>
      <c r="AFH1" s="98">
        <v>633</v>
      </c>
      <c r="AFI1" s="98">
        <v>634</v>
      </c>
      <c r="AFJ1" s="98">
        <v>635</v>
      </c>
      <c r="AFK1" s="98">
        <v>636</v>
      </c>
      <c r="AFL1" s="98">
        <v>637</v>
      </c>
      <c r="AFM1" s="98">
        <v>638</v>
      </c>
      <c r="AFN1" s="98">
        <v>639</v>
      </c>
      <c r="AFO1" s="98">
        <v>640</v>
      </c>
      <c r="AFP1" s="98">
        <v>641</v>
      </c>
      <c r="AFQ1" s="98">
        <v>642</v>
      </c>
      <c r="AFR1" s="98">
        <v>643</v>
      </c>
      <c r="AFS1" s="98">
        <v>644</v>
      </c>
      <c r="AFT1" s="98">
        <v>645</v>
      </c>
      <c r="AFU1" s="98">
        <v>646</v>
      </c>
      <c r="AFV1" s="98">
        <v>647</v>
      </c>
      <c r="AFW1" s="98">
        <v>648</v>
      </c>
      <c r="AFX1" s="98">
        <v>649</v>
      </c>
      <c r="AFY1" s="98">
        <v>650</v>
      </c>
      <c r="AFZ1" s="98">
        <v>651</v>
      </c>
      <c r="AGA1" s="98">
        <v>652</v>
      </c>
      <c r="AGB1" s="98">
        <v>653</v>
      </c>
      <c r="AGC1" s="98">
        <v>654</v>
      </c>
      <c r="AGD1" s="98">
        <v>655</v>
      </c>
      <c r="AGE1" s="98">
        <v>656</v>
      </c>
      <c r="AGF1" s="98">
        <v>657</v>
      </c>
      <c r="AGG1" s="98">
        <v>658</v>
      </c>
      <c r="AGH1" s="98">
        <v>659</v>
      </c>
      <c r="AGI1" s="98">
        <v>660</v>
      </c>
      <c r="AGJ1" s="98">
        <v>661</v>
      </c>
      <c r="AGK1" s="98">
        <v>662</v>
      </c>
      <c r="AGL1" s="98">
        <v>663</v>
      </c>
      <c r="AGM1" s="98">
        <v>664</v>
      </c>
      <c r="AGN1" s="98">
        <v>665</v>
      </c>
      <c r="AGO1" s="98">
        <v>666</v>
      </c>
      <c r="AGP1" s="98">
        <v>667</v>
      </c>
      <c r="AGQ1" s="98">
        <v>668</v>
      </c>
      <c r="AGR1" s="98">
        <v>669</v>
      </c>
      <c r="AGS1" s="98">
        <v>670</v>
      </c>
      <c r="AGT1" s="98">
        <v>671</v>
      </c>
      <c r="AGU1" s="98">
        <v>672</v>
      </c>
      <c r="AGV1" s="98">
        <v>673</v>
      </c>
      <c r="AGW1" s="98">
        <v>674</v>
      </c>
      <c r="AGX1" s="98">
        <v>675</v>
      </c>
      <c r="AGY1" s="98">
        <v>676</v>
      </c>
      <c r="AGZ1" s="98">
        <v>677</v>
      </c>
      <c r="AHA1" s="98">
        <v>678</v>
      </c>
      <c r="AHB1" s="98">
        <v>679</v>
      </c>
      <c r="AHC1" s="98">
        <v>680</v>
      </c>
      <c r="AHD1" s="98">
        <v>681</v>
      </c>
      <c r="AHE1" s="98">
        <v>682</v>
      </c>
      <c r="AHF1" s="98">
        <v>683</v>
      </c>
      <c r="AHG1" s="98">
        <v>684</v>
      </c>
      <c r="AHH1" s="98">
        <v>685</v>
      </c>
      <c r="AHI1" s="98">
        <v>686</v>
      </c>
      <c r="AHJ1" s="98">
        <v>687</v>
      </c>
      <c r="AHK1" s="98">
        <v>688</v>
      </c>
      <c r="AHL1" s="98">
        <v>689</v>
      </c>
      <c r="AHM1" s="98">
        <v>690</v>
      </c>
      <c r="AHN1" s="98">
        <v>691</v>
      </c>
      <c r="AHO1" s="98">
        <v>692</v>
      </c>
      <c r="AHP1" s="98">
        <v>693</v>
      </c>
      <c r="AHQ1" s="98">
        <v>694</v>
      </c>
      <c r="AHR1" s="98">
        <v>695</v>
      </c>
      <c r="AHS1" s="98">
        <v>696</v>
      </c>
      <c r="AHT1" s="98">
        <v>697</v>
      </c>
      <c r="AHU1" s="98">
        <v>698</v>
      </c>
      <c r="AHV1" s="98">
        <v>699</v>
      </c>
      <c r="AHW1" s="98">
        <v>700</v>
      </c>
      <c r="AHX1" s="98">
        <v>701</v>
      </c>
      <c r="AHY1" s="98">
        <v>702</v>
      </c>
      <c r="AHZ1" s="98">
        <v>703</v>
      </c>
      <c r="AIA1" s="98">
        <v>704</v>
      </c>
      <c r="AIB1" s="98">
        <v>705</v>
      </c>
      <c r="AIC1" s="98">
        <v>706</v>
      </c>
      <c r="AID1" s="98">
        <v>707</v>
      </c>
      <c r="AIE1" s="98">
        <v>708</v>
      </c>
      <c r="AIF1" s="98">
        <v>709</v>
      </c>
      <c r="AIG1" s="98">
        <v>710</v>
      </c>
      <c r="AIH1" s="98">
        <v>711</v>
      </c>
      <c r="AII1" s="98">
        <v>712</v>
      </c>
      <c r="AIJ1" s="98">
        <v>713</v>
      </c>
      <c r="AIK1" s="98">
        <v>714</v>
      </c>
      <c r="AIL1" s="98">
        <v>715</v>
      </c>
      <c r="AIM1" s="98">
        <v>716</v>
      </c>
      <c r="AIN1" s="98">
        <v>717</v>
      </c>
      <c r="AIO1" s="98">
        <v>718</v>
      </c>
      <c r="AIP1" s="98">
        <v>719</v>
      </c>
      <c r="AIQ1" s="98">
        <v>720</v>
      </c>
      <c r="AIR1" s="98">
        <v>721</v>
      </c>
      <c r="AIS1" s="98">
        <v>722</v>
      </c>
      <c r="AIT1" s="98">
        <v>723</v>
      </c>
      <c r="AIU1" s="98">
        <v>724</v>
      </c>
      <c r="AIV1" s="98">
        <v>725</v>
      </c>
      <c r="AIW1" s="98">
        <v>726</v>
      </c>
      <c r="AIX1" s="98">
        <v>727</v>
      </c>
      <c r="AIY1" s="98">
        <v>728</v>
      </c>
      <c r="AIZ1" s="98">
        <v>729</v>
      </c>
      <c r="AJA1" s="98">
        <v>730</v>
      </c>
      <c r="AJB1" s="98">
        <v>731</v>
      </c>
      <c r="AJC1" s="98">
        <v>732</v>
      </c>
      <c r="AJD1" s="98">
        <v>733</v>
      </c>
      <c r="AJE1" s="98">
        <v>734</v>
      </c>
      <c r="AJF1" s="98">
        <v>735</v>
      </c>
      <c r="AJG1" s="98">
        <v>736</v>
      </c>
      <c r="AJH1" s="98">
        <v>737</v>
      </c>
      <c r="AJI1" s="98">
        <v>738</v>
      </c>
      <c r="AJJ1" s="98">
        <v>739</v>
      </c>
      <c r="AJK1" s="98">
        <v>740</v>
      </c>
      <c r="AJL1" s="98">
        <v>741</v>
      </c>
      <c r="AJM1" s="98">
        <v>742</v>
      </c>
      <c r="AJN1" s="98">
        <v>743</v>
      </c>
      <c r="AJO1" s="98">
        <v>744</v>
      </c>
      <c r="AJP1" s="98">
        <v>745</v>
      </c>
      <c r="AJQ1" s="98">
        <v>746</v>
      </c>
      <c r="AJR1" s="98">
        <v>747</v>
      </c>
      <c r="AJS1" s="98">
        <v>748</v>
      </c>
      <c r="AJT1" s="98">
        <v>749</v>
      </c>
      <c r="AJU1" s="98">
        <v>750</v>
      </c>
      <c r="AJV1" s="98">
        <v>751</v>
      </c>
      <c r="AJW1" s="98">
        <v>752</v>
      </c>
      <c r="AJX1" s="98">
        <v>753</v>
      </c>
      <c r="AJY1" s="98">
        <v>754</v>
      </c>
      <c r="AJZ1" s="98">
        <v>755</v>
      </c>
      <c r="AKA1" s="98">
        <v>756</v>
      </c>
      <c r="AKB1" s="98">
        <v>757</v>
      </c>
      <c r="AKC1" s="98">
        <v>758</v>
      </c>
      <c r="AKD1" s="98">
        <v>759</v>
      </c>
      <c r="AKE1" s="98">
        <v>760</v>
      </c>
      <c r="AKF1" s="98">
        <v>761</v>
      </c>
      <c r="AKG1" s="98">
        <v>762</v>
      </c>
      <c r="AKH1" s="98">
        <v>763</v>
      </c>
      <c r="AKI1" s="98">
        <v>764</v>
      </c>
      <c r="AKJ1" s="98">
        <v>765</v>
      </c>
      <c r="AKK1" s="98">
        <v>766</v>
      </c>
      <c r="AKL1" s="98">
        <v>767</v>
      </c>
      <c r="AKM1" s="98">
        <v>768</v>
      </c>
      <c r="AKN1" s="98">
        <v>769</v>
      </c>
      <c r="AKO1" s="98">
        <v>770</v>
      </c>
      <c r="AKP1" s="98">
        <v>771</v>
      </c>
      <c r="AKQ1" s="98">
        <v>772</v>
      </c>
      <c r="AKR1" s="98">
        <v>773</v>
      </c>
      <c r="AKS1" s="98">
        <v>774</v>
      </c>
      <c r="AKT1" s="98">
        <v>775</v>
      </c>
      <c r="AKU1" s="98">
        <v>776</v>
      </c>
      <c r="AKV1" s="98">
        <v>777</v>
      </c>
      <c r="AKW1" s="98">
        <v>778</v>
      </c>
      <c r="AKX1" s="98">
        <v>779</v>
      </c>
      <c r="AKY1" s="98">
        <v>780</v>
      </c>
      <c r="AKZ1" s="98">
        <v>781</v>
      </c>
      <c r="ALA1" s="98">
        <v>782</v>
      </c>
      <c r="ALB1" s="98">
        <v>783</v>
      </c>
      <c r="ALC1" s="98">
        <v>784</v>
      </c>
      <c r="ALD1" s="98">
        <v>785</v>
      </c>
      <c r="ALE1" s="98">
        <v>786</v>
      </c>
      <c r="ALF1" s="98">
        <v>787</v>
      </c>
      <c r="ALG1" s="98">
        <v>788</v>
      </c>
      <c r="ALH1" s="98">
        <v>789</v>
      </c>
      <c r="ALI1" s="98">
        <v>790</v>
      </c>
      <c r="ALJ1" s="98">
        <v>791</v>
      </c>
      <c r="ALK1" s="98">
        <v>792</v>
      </c>
      <c r="ALL1" s="98">
        <v>793</v>
      </c>
      <c r="ALM1" s="98">
        <v>794</v>
      </c>
      <c r="ALN1" s="98">
        <v>795</v>
      </c>
      <c r="ALO1" s="98">
        <v>796</v>
      </c>
      <c r="ALP1" s="98">
        <v>797</v>
      </c>
      <c r="ALQ1" s="98">
        <v>798</v>
      </c>
      <c r="ALR1" s="98">
        <v>799</v>
      </c>
      <c r="ALS1" s="98">
        <v>800</v>
      </c>
      <c r="ALT1" s="98">
        <v>801</v>
      </c>
      <c r="ALU1" s="98">
        <v>802</v>
      </c>
      <c r="ALV1" s="98">
        <v>803</v>
      </c>
      <c r="ALW1" s="98">
        <v>804</v>
      </c>
      <c r="ALX1" s="98">
        <v>805</v>
      </c>
      <c r="ALY1" s="98">
        <v>806</v>
      </c>
      <c r="ALZ1" s="98">
        <v>807</v>
      </c>
      <c r="AMA1" s="98">
        <v>808</v>
      </c>
      <c r="AMB1" s="98">
        <v>809</v>
      </c>
      <c r="AMC1" s="98">
        <v>810</v>
      </c>
      <c r="AMD1" s="98">
        <v>811</v>
      </c>
      <c r="AME1" s="98">
        <v>812</v>
      </c>
      <c r="AMF1" s="98">
        <v>813</v>
      </c>
      <c r="AMG1" s="98">
        <v>814</v>
      </c>
      <c r="AMH1" s="98">
        <v>815</v>
      </c>
      <c r="AMI1" s="98">
        <v>816</v>
      </c>
      <c r="AMJ1" s="98">
        <v>817</v>
      </c>
      <c r="AMK1" s="98">
        <v>818</v>
      </c>
      <c r="AML1" s="98">
        <v>819</v>
      </c>
      <c r="AMM1" s="98">
        <v>820</v>
      </c>
      <c r="AMN1" s="98">
        <v>821</v>
      </c>
      <c r="AMO1" s="98">
        <v>822</v>
      </c>
      <c r="AMP1" s="98">
        <v>823</v>
      </c>
      <c r="AMQ1" s="98">
        <v>824</v>
      </c>
      <c r="AMR1" s="98">
        <v>825</v>
      </c>
      <c r="AMS1" s="98">
        <v>826</v>
      </c>
      <c r="AMT1" s="98">
        <v>827</v>
      </c>
      <c r="AMU1" s="98">
        <v>828</v>
      </c>
      <c r="AMV1" s="98">
        <v>829</v>
      </c>
      <c r="AMW1" s="98">
        <v>830</v>
      </c>
      <c r="AMX1" s="98">
        <v>831</v>
      </c>
      <c r="AMY1" s="98">
        <v>832</v>
      </c>
      <c r="AMZ1" s="98">
        <v>833</v>
      </c>
      <c r="ANA1" s="98">
        <v>834</v>
      </c>
      <c r="ANB1" s="98">
        <v>835</v>
      </c>
      <c r="ANC1" s="98">
        <v>836</v>
      </c>
      <c r="AND1" s="98">
        <v>837</v>
      </c>
      <c r="ANE1" s="98">
        <v>838</v>
      </c>
      <c r="ANF1" s="98">
        <v>839</v>
      </c>
      <c r="ANG1" s="98">
        <v>840</v>
      </c>
      <c r="ANH1" s="98">
        <v>841</v>
      </c>
      <c r="ANI1" s="98">
        <v>842</v>
      </c>
      <c r="ANJ1" s="98">
        <v>843</v>
      </c>
      <c r="ANK1" s="98">
        <v>844</v>
      </c>
      <c r="ANL1" s="98">
        <v>845</v>
      </c>
      <c r="ANM1" s="98">
        <v>846</v>
      </c>
      <c r="ANN1" s="98">
        <v>847</v>
      </c>
      <c r="ANO1" s="98">
        <v>848</v>
      </c>
      <c r="ANP1" s="98">
        <v>849</v>
      </c>
      <c r="ANQ1" s="98">
        <v>850</v>
      </c>
      <c r="ANR1" s="98">
        <v>851</v>
      </c>
      <c r="ANS1" s="98">
        <v>852</v>
      </c>
      <c r="ANT1" s="98">
        <v>853</v>
      </c>
      <c r="ANU1" s="98">
        <v>854</v>
      </c>
      <c r="ANV1" s="98">
        <v>855</v>
      </c>
      <c r="ANW1" s="98">
        <v>856</v>
      </c>
      <c r="ANX1" s="98">
        <v>857</v>
      </c>
      <c r="ANY1" s="98">
        <v>858</v>
      </c>
      <c r="ANZ1" s="98">
        <v>859</v>
      </c>
      <c r="AOA1" s="98">
        <v>860</v>
      </c>
      <c r="AOB1" s="98">
        <v>861</v>
      </c>
      <c r="AOC1" s="98">
        <v>862</v>
      </c>
      <c r="AOD1" s="98">
        <v>863</v>
      </c>
      <c r="AOE1" s="98">
        <v>864</v>
      </c>
      <c r="AOF1" s="98">
        <v>865</v>
      </c>
      <c r="AOG1" s="98">
        <v>866</v>
      </c>
      <c r="AOH1" s="98">
        <v>867</v>
      </c>
      <c r="AOI1" s="98">
        <v>868</v>
      </c>
      <c r="AOJ1" s="98">
        <v>869</v>
      </c>
      <c r="AOK1" s="98">
        <v>870</v>
      </c>
      <c r="AOL1" s="98">
        <v>871</v>
      </c>
      <c r="AOM1" s="98">
        <v>872</v>
      </c>
      <c r="AON1" s="98">
        <v>873</v>
      </c>
      <c r="AOO1" s="98">
        <v>874</v>
      </c>
      <c r="AOP1" s="98">
        <v>875</v>
      </c>
      <c r="AOQ1" s="98">
        <v>876</v>
      </c>
      <c r="AOR1" s="98">
        <v>877</v>
      </c>
      <c r="AOS1" s="98">
        <v>878</v>
      </c>
      <c r="AOT1" s="98">
        <v>879</v>
      </c>
      <c r="AOU1" s="98">
        <v>880</v>
      </c>
      <c r="AOV1" s="98">
        <v>881</v>
      </c>
      <c r="AOW1" s="98">
        <v>882</v>
      </c>
      <c r="AOX1" s="98">
        <v>883</v>
      </c>
      <c r="AOY1" s="98">
        <v>884</v>
      </c>
      <c r="AOZ1" s="98">
        <v>885</v>
      </c>
      <c r="APA1" s="98">
        <v>886</v>
      </c>
      <c r="APB1" s="98">
        <v>887</v>
      </c>
      <c r="APC1" s="98">
        <v>888</v>
      </c>
      <c r="APD1" s="98">
        <v>889</v>
      </c>
      <c r="APE1" s="98">
        <v>890</v>
      </c>
      <c r="APF1" s="98">
        <v>891</v>
      </c>
      <c r="APG1" s="98">
        <v>892</v>
      </c>
      <c r="APH1" s="98">
        <v>893</v>
      </c>
      <c r="API1" s="98">
        <v>894</v>
      </c>
      <c r="APJ1" s="98">
        <v>895</v>
      </c>
      <c r="APK1" s="98">
        <v>896</v>
      </c>
      <c r="APL1" s="98">
        <v>897</v>
      </c>
      <c r="APM1" s="98">
        <v>898</v>
      </c>
      <c r="APN1" s="98">
        <v>899</v>
      </c>
      <c r="APO1" s="98">
        <v>900</v>
      </c>
      <c r="APP1" s="98">
        <v>901</v>
      </c>
      <c r="APQ1" s="98">
        <v>902</v>
      </c>
      <c r="APR1" s="98">
        <v>903</v>
      </c>
      <c r="APS1" s="98">
        <v>904</v>
      </c>
      <c r="APT1" s="98">
        <v>905</v>
      </c>
      <c r="APU1" s="98">
        <v>906</v>
      </c>
      <c r="APV1" s="98">
        <v>907</v>
      </c>
      <c r="APW1" s="98">
        <v>908</v>
      </c>
      <c r="APX1" s="98">
        <v>909</v>
      </c>
      <c r="APY1" s="98">
        <v>910</v>
      </c>
      <c r="APZ1" s="98">
        <v>911</v>
      </c>
      <c r="AQA1" s="98">
        <v>912</v>
      </c>
      <c r="AQB1" s="98">
        <v>913</v>
      </c>
      <c r="AQC1" s="98">
        <v>914</v>
      </c>
      <c r="AQD1" s="98">
        <v>915</v>
      </c>
      <c r="AQE1" s="98">
        <v>916</v>
      </c>
      <c r="AQF1" s="98">
        <v>917</v>
      </c>
      <c r="AQG1" s="98">
        <v>918</v>
      </c>
      <c r="AQH1" s="98">
        <v>919</v>
      </c>
      <c r="AQI1" s="98">
        <v>920</v>
      </c>
      <c r="AQJ1" s="98">
        <v>921</v>
      </c>
      <c r="AQK1" s="98">
        <v>922</v>
      </c>
      <c r="AQL1" s="98">
        <v>923</v>
      </c>
      <c r="AQM1" s="98">
        <v>924</v>
      </c>
      <c r="AQN1" s="98">
        <v>925</v>
      </c>
      <c r="AQO1" s="98">
        <v>926</v>
      </c>
      <c r="AQP1" s="98">
        <v>927</v>
      </c>
      <c r="AQQ1" s="98">
        <v>928</v>
      </c>
      <c r="AQR1" s="98">
        <v>929</v>
      </c>
      <c r="AQS1" s="98">
        <v>930</v>
      </c>
      <c r="AQT1" s="98">
        <v>931</v>
      </c>
      <c r="AQU1" s="98">
        <v>932</v>
      </c>
      <c r="AQV1" s="98">
        <v>933</v>
      </c>
      <c r="AQW1" s="98">
        <v>934</v>
      </c>
      <c r="AQX1" s="98">
        <v>935</v>
      </c>
      <c r="AQY1" s="98">
        <v>936</v>
      </c>
      <c r="AQZ1" s="98">
        <v>937</v>
      </c>
      <c r="ARA1" s="98">
        <v>938</v>
      </c>
      <c r="ARB1" s="98">
        <v>939</v>
      </c>
      <c r="ARC1" s="98">
        <v>940</v>
      </c>
      <c r="ARD1" s="98">
        <v>941</v>
      </c>
      <c r="ARE1" s="98">
        <v>942</v>
      </c>
      <c r="ARF1" s="98">
        <v>943</v>
      </c>
      <c r="ARG1" s="98">
        <v>944</v>
      </c>
      <c r="ARH1" s="98">
        <v>945</v>
      </c>
      <c r="ARI1" s="98">
        <v>946</v>
      </c>
      <c r="ARJ1" s="98">
        <v>947</v>
      </c>
      <c r="ARK1" s="98">
        <v>948</v>
      </c>
      <c r="ARL1" s="98">
        <v>949</v>
      </c>
      <c r="ARM1" s="98">
        <v>950</v>
      </c>
      <c r="ARN1" s="98">
        <v>951</v>
      </c>
      <c r="ARO1" s="98">
        <v>952</v>
      </c>
      <c r="ARP1" s="98">
        <v>953</v>
      </c>
      <c r="ARQ1" s="98">
        <v>954</v>
      </c>
      <c r="ARR1" s="98">
        <v>955</v>
      </c>
      <c r="ARS1" s="98">
        <v>956</v>
      </c>
      <c r="ART1" s="98">
        <v>957</v>
      </c>
      <c r="ARU1" s="98">
        <v>958</v>
      </c>
      <c r="ARV1" s="98">
        <v>959</v>
      </c>
      <c r="ARW1" s="98">
        <v>960</v>
      </c>
      <c r="ARX1" s="98">
        <v>961</v>
      </c>
      <c r="ARY1" s="98">
        <v>962</v>
      </c>
      <c r="ARZ1" s="98">
        <v>963</v>
      </c>
      <c r="ASA1" s="98">
        <v>964</v>
      </c>
      <c r="ASB1" s="98">
        <v>965</v>
      </c>
      <c r="ASC1" s="98">
        <v>966</v>
      </c>
      <c r="ASD1" s="98">
        <v>967</v>
      </c>
      <c r="ASE1" s="98">
        <v>968</v>
      </c>
      <c r="ASF1" s="98">
        <v>969</v>
      </c>
      <c r="ASG1" s="98">
        <v>970</v>
      </c>
      <c r="ASH1" s="98">
        <v>971</v>
      </c>
      <c r="ASI1" s="98">
        <v>972</v>
      </c>
      <c r="ASJ1" s="98">
        <v>973</v>
      </c>
      <c r="ASK1" s="98">
        <v>974</v>
      </c>
      <c r="ASL1" s="98">
        <v>975</v>
      </c>
      <c r="ASM1" s="98">
        <v>976</v>
      </c>
      <c r="ASN1" s="98">
        <v>977</v>
      </c>
      <c r="ASO1" s="98">
        <v>978</v>
      </c>
      <c r="ASP1" s="98">
        <v>979</v>
      </c>
      <c r="ASQ1" s="98">
        <v>980</v>
      </c>
      <c r="ASR1" s="98">
        <v>981</v>
      </c>
      <c r="ASS1" s="98">
        <v>982</v>
      </c>
      <c r="AST1" s="98">
        <v>983</v>
      </c>
      <c r="ASU1" s="98">
        <v>984</v>
      </c>
      <c r="ASV1" s="98">
        <v>985</v>
      </c>
      <c r="ASW1" s="98">
        <v>986</v>
      </c>
      <c r="ASX1" s="98">
        <v>987</v>
      </c>
      <c r="ASY1" s="98">
        <v>988</v>
      </c>
      <c r="ASZ1" s="98">
        <v>989</v>
      </c>
      <c r="ATA1" s="98">
        <v>990</v>
      </c>
      <c r="ATB1" s="98">
        <v>991</v>
      </c>
      <c r="ATC1" s="98">
        <v>992</v>
      </c>
      <c r="ATD1" s="98">
        <v>993</v>
      </c>
      <c r="ATE1" s="98">
        <v>994</v>
      </c>
      <c r="ATF1" s="98">
        <v>995</v>
      </c>
      <c r="ATG1" s="98">
        <v>996</v>
      </c>
      <c r="ATH1" s="98">
        <v>997</v>
      </c>
      <c r="ATI1" s="98">
        <v>998</v>
      </c>
      <c r="ATJ1" s="98">
        <v>999</v>
      </c>
      <c r="ATK1" s="98">
        <v>1000</v>
      </c>
      <c r="ATL1" s="98">
        <v>1001</v>
      </c>
      <c r="ATM1" s="98">
        <v>1002</v>
      </c>
      <c r="ATN1" s="98">
        <v>1003</v>
      </c>
      <c r="ATO1" s="98">
        <v>1004</v>
      </c>
      <c r="ATP1" s="98">
        <v>1005</v>
      </c>
      <c r="ATQ1" s="98">
        <v>1006</v>
      </c>
      <c r="ATR1" s="98">
        <v>1007</v>
      </c>
      <c r="ATS1" s="98">
        <v>1008</v>
      </c>
      <c r="ATT1" s="98">
        <v>1009</v>
      </c>
      <c r="ATU1" s="98">
        <v>1010</v>
      </c>
      <c r="ATV1" s="98">
        <v>1011</v>
      </c>
      <c r="ATW1" s="98">
        <v>1012</v>
      </c>
      <c r="ATX1" s="98">
        <v>1013</v>
      </c>
      <c r="ATY1" s="98">
        <v>1014</v>
      </c>
      <c r="ATZ1" s="98">
        <v>1015</v>
      </c>
      <c r="AUA1" s="98">
        <v>1016</v>
      </c>
      <c r="AUB1" s="98">
        <v>1017</v>
      </c>
      <c r="AUC1" s="98">
        <v>1018</v>
      </c>
      <c r="AUD1" s="98">
        <v>1019</v>
      </c>
      <c r="AUE1" s="98">
        <v>1020</v>
      </c>
      <c r="AUF1" s="98">
        <v>1021</v>
      </c>
      <c r="AUG1" s="98">
        <v>1022</v>
      </c>
      <c r="AUH1" s="98">
        <v>1023</v>
      </c>
      <c r="AUI1" s="98">
        <v>1024</v>
      </c>
      <c r="AUJ1" s="98">
        <v>1025</v>
      </c>
      <c r="AUK1" s="98">
        <v>1026</v>
      </c>
      <c r="AUL1" s="98">
        <v>1027</v>
      </c>
      <c r="AUM1" s="98">
        <v>1028</v>
      </c>
      <c r="AUN1" s="98">
        <v>1029</v>
      </c>
      <c r="AUO1" s="98">
        <v>1030</v>
      </c>
      <c r="AUP1" s="98">
        <v>1031</v>
      </c>
      <c r="AUQ1" s="98">
        <v>1032</v>
      </c>
      <c r="AUR1" s="98">
        <v>1033</v>
      </c>
      <c r="AUS1" s="98">
        <v>1034</v>
      </c>
      <c r="AUT1" s="98">
        <v>1035</v>
      </c>
      <c r="AUU1" s="98">
        <v>1036</v>
      </c>
      <c r="AUV1" s="98">
        <v>1037</v>
      </c>
      <c r="AUW1" s="98">
        <v>1038</v>
      </c>
      <c r="AUX1" s="98">
        <v>1039</v>
      </c>
      <c r="AUY1" s="98">
        <v>1040</v>
      </c>
      <c r="AUZ1" s="98">
        <v>1041</v>
      </c>
      <c r="AVA1" s="98">
        <v>1042</v>
      </c>
      <c r="AVB1" s="98">
        <v>1043</v>
      </c>
      <c r="AVC1" s="98">
        <v>1044</v>
      </c>
      <c r="AVD1" s="98">
        <v>1045</v>
      </c>
      <c r="AVE1" s="98">
        <v>1046</v>
      </c>
      <c r="AVF1" s="98">
        <v>1047</v>
      </c>
      <c r="AVG1" s="98">
        <v>1048</v>
      </c>
      <c r="AVH1" s="98">
        <v>1049</v>
      </c>
      <c r="AVI1" s="98">
        <v>1050</v>
      </c>
      <c r="AVJ1" s="98">
        <v>1051</v>
      </c>
      <c r="AVK1" s="98">
        <v>1052</v>
      </c>
      <c r="AVL1" s="98">
        <v>1053</v>
      </c>
      <c r="AVM1" s="98">
        <v>1054</v>
      </c>
      <c r="AVN1" s="98">
        <v>1055</v>
      </c>
      <c r="AVO1" s="98">
        <v>1056</v>
      </c>
      <c r="AVP1" s="98">
        <v>1057</v>
      </c>
      <c r="AVQ1" s="98">
        <v>1058</v>
      </c>
      <c r="AVR1" s="98">
        <v>1059</v>
      </c>
      <c r="AVS1" s="98">
        <v>1060</v>
      </c>
      <c r="AVT1" s="98">
        <v>1061</v>
      </c>
      <c r="AVU1" s="98">
        <v>1062</v>
      </c>
      <c r="AVV1" s="98">
        <v>1063</v>
      </c>
      <c r="AVW1" s="98">
        <v>1064</v>
      </c>
      <c r="AVX1" s="98">
        <v>1065</v>
      </c>
      <c r="AVY1" s="98">
        <v>1066</v>
      </c>
      <c r="AVZ1" s="98">
        <v>1067</v>
      </c>
      <c r="AWA1" s="98">
        <v>1068</v>
      </c>
      <c r="AWB1" s="98">
        <v>1069</v>
      </c>
      <c r="AWC1" s="98">
        <v>1070</v>
      </c>
      <c r="AWD1" s="98">
        <v>1071</v>
      </c>
      <c r="AWE1" s="98">
        <v>1072</v>
      </c>
      <c r="AWF1" s="98">
        <v>1073</v>
      </c>
      <c r="AWG1" s="98">
        <v>1074</v>
      </c>
      <c r="AWH1" s="98">
        <v>1075</v>
      </c>
      <c r="AWI1" s="98">
        <v>1076</v>
      </c>
      <c r="AWJ1" s="98">
        <v>1077</v>
      </c>
      <c r="AWK1" s="98">
        <v>1078</v>
      </c>
      <c r="AWL1" s="98">
        <v>1079</v>
      </c>
      <c r="AWM1" s="98">
        <v>1080</v>
      </c>
      <c r="AWN1" s="98">
        <v>1081</v>
      </c>
      <c r="AWO1" s="98">
        <v>1082</v>
      </c>
      <c r="AWP1" s="98">
        <v>1083</v>
      </c>
      <c r="AWQ1" s="98">
        <v>1084</v>
      </c>
      <c r="AWR1" s="98">
        <v>1085</v>
      </c>
      <c r="AWS1" s="98">
        <v>1086</v>
      </c>
      <c r="AWT1" s="98">
        <v>1087</v>
      </c>
      <c r="AWU1" s="98">
        <v>1088</v>
      </c>
      <c r="AWV1" s="98">
        <v>1089</v>
      </c>
      <c r="AWW1" s="98">
        <v>1090</v>
      </c>
      <c r="AWX1" s="98">
        <v>1091</v>
      </c>
      <c r="AWY1" s="98">
        <v>1092</v>
      </c>
      <c r="AWZ1" s="98">
        <v>1093</v>
      </c>
      <c r="AXA1" s="98">
        <v>1094</v>
      </c>
      <c r="AXB1" s="98">
        <v>1095</v>
      </c>
      <c r="AXC1" s="98">
        <v>1096</v>
      </c>
      <c r="AXD1" s="98">
        <v>1097</v>
      </c>
      <c r="AXE1" s="98">
        <v>1098</v>
      </c>
      <c r="AXF1" s="98">
        <v>1099</v>
      </c>
      <c r="AXG1" s="98">
        <v>1100</v>
      </c>
      <c r="AXH1" s="98">
        <v>1101</v>
      </c>
      <c r="AXI1" s="98">
        <v>1102</v>
      </c>
      <c r="AXJ1" s="98">
        <v>1103</v>
      </c>
      <c r="AXK1" s="98">
        <v>1104</v>
      </c>
      <c r="AXL1" s="98">
        <v>1105</v>
      </c>
      <c r="AXM1" s="98">
        <v>1106</v>
      </c>
      <c r="AXN1" s="98">
        <v>1107</v>
      </c>
      <c r="AXO1" s="98">
        <v>1108</v>
      </c>
      <c r="AXP1" s="98">
        <v>1109</v>
      </c>
      <c r="AXQ1" s="98">
        <v>1110</v>
      </c>
      <c r="AXR1" s="98">
        <v>1111</v>
      </c>
      <c r="AXS1" s="98">
        <v>1112</v>
      </c>
      <c r="AXT1" s="98">
        <v>1113</v>
      </c>
      <c r="AXU1" s="98">
        <v>1114</v>
      </c>
      <c r="AXV1" s="98">
        <v>1115</v>
      </c>
      <c r="AXW1" s="98">
        <v>1116</v>
      </c>
      <c r="AXX1" s="98">
        <v>1117</v>
      </c>
      <c r="AXY1" s="98">
        <v>1118</v>
      </c>
      <c r="AXZ1" s="98">
        <v>1119</v>
      </c>
      <c r="AYA1" s="98">
        <v>1120</v>
      </c>
      <c r="AYB1" s="98">
        <v>1121</v>
      </c>
      <c r="AYC1" s="98">
        <v>1122</v>
      </c>
      <c r="AYD1" s="98">
        <v>1123</v>
      </c>
      <c r="AYE1" s="98">
        <v>1124</v>
      </c>
      <c r="AYF1" s="98">
        <v>1125</v>
      </c>
      <c r="AYG1" s="98">
        <v>1126</v>
      </c>
      <c r="AYH1" s="98">
        <v>1127</v>
      </c>
      <c r="AYI1" s="98">
        <v>1128</v>
      </c>
      <c r="AYJ1" s="98">
        <v>1129</v>
      </c>
      <c r="AYK1" s="98">
        <v>1130</v>
      </c>
      <c r="AYL1" s="98">
        <v>1131</v>
      </c>
      <c r="AYM1" s="98">
        <v>1132</v>
      </c>
      <c r="AYN1" s="98">
        <v>1133</v>
      </c>
      <c r="AYO1" s="98">
        <v>1134</v>
      </c>
      <c r="AYP1" s="98">
        <v>1135</v>
      </c>
      <c r="AYQ1" s="98">
        <v>1136</v>
      </c>
      <c r="AYR1" s="98">
        <v>1137</v>
      </c>
      <c r="AYS1" s="98">
        <v>1138</v>
      </c>
      <c r="AYT1" s="98">
        <v>1139</v>
      </c>
      <c r="AYU1" s="98">
        <v>1140</v>
      </c>
      <c r="AYV1" s="98">
        <v>1141</v>
      </c>
      <c r="AYW1" s="98">
        <v>1142</v>
      </c>
      <c r="AYX1" s="98">
        <v>1143</v>
      </c>
      <c r="AYY1" s="98">
        <v>1144</v>
      </c>
      <c r="AYZ1" s="98">
        <v>1145</v>
      </c>
      <c r="AZA1" s="98">
        <v>1146</v>
      </c>
      <c r="AZB1" s="98">
        <v>1147</v>
      </c>
      <c r="AZC1" s="98">
        <v>1148</v>
      </c>
      <c r="AZD1" s="98">
        <v>1149</v>
      </c>
      <c r="AZE1" s="98">
        <v>1150</v>
      </c>
      <c r="AZF1" s="98">
        <v>1151</v>
      </c>
      <c r="AZG1" s="98">
        <v>1152</v>
      </c>
      <c r="AZH1" s="98">
        <v>1153</v>
      </c>
      <c r="AZI1" s="98">
        <v>1154</v>
      </c>
      <c r="AZJ1" s="98">
        <v>1155</v>
      </c>
      <c r="AZK1" s="98">
        <v>1156</v>
      </c>
      <c r="AZL1" s="98">
        <v>1157</v>
      </c>
      <c r="AZM1" s="98">
        <v>1158</v>
      </c>
      <c r="AZN1" s="98">
        <v>1159</v>
      </c>
      <c r="AZO1" s="98">
        <v>1160</v>
      </c>
      <c r="AZP1" s="98">
        <v>1161</v>
      </c>
      <c r="AZQ1" s="98">
        <v>1162</v>
      </c>
      <c r="AZR1" s="98">
        <v>1163</v>
      </c>
      <c r="AZS1" s="98">
        <v>1164</v>
      </c>
      <c r="AZT1" s="98">
        <v>1165</v>
      </c>
      <c r="AZU1" s="98">
        <v>1166</v>
      </c>
      <c r="AZV1" s="98">
        <v>1167</v>
      </c>
      <c r="AZW1" s="98">
        <v>1168</v>
      </c>
      <c r="AZX1" s="98">
        <v>1169</v>
      </c>
      <c r="AZY1" s="98">
        <v>1170</v>
      </c>
      <c r="AZZ1" s="98">
        <v>1171</v>
      </c>
      <c r="BAA1" s="98">
        <v>1172</v>
      </c>
      <c r="BAB1" s="98">
        <v>1173</v>
      </c>
      <c r="BAC1" s="98">
        <v>1174</v>
      </c>
      <c r="BAD1" s="98">
        <v>1175</v>
      </c>
      <c r="BAE1" s="98">
        <v>1176</v>
      </c>
      <c r="BAF1" s="98">
        <v>1177</v>
      </c>
      <c r="BAG1" s="98">
        <v>1178</v>
      </c>
      <c r="BAH1" s="98">
        <v>1179</v>
      </c>
      <c r="BAI1" s="98">
        <v>1180</v>
      </c>
      <c r="BAJ1" s="98">
        <v>1181</v>
      </c>
      <c r="BAK1" s="98">
        <v>1182</v>
      </c>
      <c r="BAL1" s="98">
        <v>1183</v>
      </c>
      <c r="BAM1" s="98">
        <v>1184</v>
      </c>
      <c r="BAN1" s="98">
        <v>1185</v>
      </c>
      <c r="BAO1" s="98">
        <v>1186</v>
      </c>
      <c r="BAP1" s="98">
        <v>1187</v>
      </c>
      <c r="BAQ1" s="98">
        <v>1188</v>
      </c>
      <c r="BAR1" s="98">
        <v>1189</v>
      </c>
      <c r="BAS1" s="98">
        <v>1190</v>
      </c>
      <c r="BAT1" s="98">
        <v>1191</v>
      </c>
      <c r="BAU1" s="98">
        <v>1192</v>
      </c>
      <c r="BAV1" s="98">
        <v>1193</v>
      </c>
      <c r="BAW1" s="98">
        <v>1194</v>
      </c>
      <c r="BAX1" s="98">
        <v>1195</v>
      </c>
      <c r="BAY1" s="98">
        <v>1196</v>
      </c>
      <c r="BAZ1" s="98">
        <v>1197</v>
      </c>
      <c r="BBA1" s="98">
        <v>1198</v>
      </c>
      <c r="BBB1" s="98">
        <v>1199</v>
      </c>
      <c r="BBC1" s="98">
        <v>1200</v>
      </c>
      <c r="BBD1" s="98">
        <v>1201</v>
      </c>
      <c r="BBE1" s="98">
        <v>1202</v>
      </c>
      <c r="BBF1" s="98">
        <v>1203</v>
      </c>
      <c r="BBG1" s="98">
        <v>1204</v>
      </c>
      <c r="BBH1" s="98">
        <v>1205</v>
      </c>
      <c r="BBI1" s="98">
        <v>1206</v>
      </c>
      <c r="BBJ1" s="98">
        <v>1207</v>
      </c>
      <c r="BBK1" s="98">
        <v>1208</v>
      </c>
      <c r="BBL1" s="98">
        <v>1209</v>
      </c>
      <c r="BBM1" s="98">
        <v>1210</v>
      </c>
      <c r="BBN1" s="98">
        <v>1211</v>
      </c>
      <c r="BBO1" s="98">
        <v>1212</v>
      </c>
      <c r="BBP1" s="98">
        <v>1213</v>
      </c>
      <c r="BBQ1" s="98">
        <v>1214</v>
      </c>
      <c r="BBR1" s="98">
        <v>1215</v>
      </c>
      <c r="BBS1" s="98">
        <v>1216</v>
      </c>
      <c r="BBT1" s="98">
        <v>1217</v>
      </c>
      <c r="BBU1" s="98">
        <v>1218</v>
      </c>
      <c r="BBV1" s="98">
        <v>1219</v>
      </c>
      <c r="BBW1" s="98">
        <v>1220</v>
      </c>
      <c r="BBX1" s="98">
        <v>1221</v>
      </c>
      <c r="BBY1" s="98">
        <v>1222</v>
      </c>
      <c r="BBZ1" s="98">
        <v>1223</v>
      </c>
      <c r="BCA1" s="98">
        <v>1224</v>
      </c>
      <c r="BCB1" s="98">
        <v>1225</v>
      </c>
      <c r="BCC1" s="98">
        <v>1226</v>
      </c>
      <c r="BCD1" s="98">
        <v>1227</v>
      </c>
      <c r="BCE1" s="98">
        <v>1228</v>
      </c>
      <c r="BCF1" s="98">
        <v>1229</v>
      </c>
      <c r="BCG1" s="98">
        <v>1230</v>
      </c>
      <c r="BCH1" s="98">
        <v>1231</v>
      </c>
      <c r="BCI1" s="98">
        <v>1232</v>
      </c>
      <c r="BCJ1" s="98">
        <v>1233</v>
      </c>
      <c r="BCK1" s="98">
        <v>1234</v>
      </c>
      <c r="BCL1" s="98">
        <v>1235</v>
      </c>
      <c r="BCM1" s="98">
        <v>1236</v>
      </c>
      <c r="BCN1" s="98">
        <v>1237</v>
      </c>
      <c r="BCO1" s="98">
        <v>1238</v>
      </c>
      <c r="BCP1" s="98">
        <v>1239</v>
      </c>
      <c r="BCQ1" s="98">
        <v>1240</v>
      </c>
      <c r="BCR1" s="98">
        <v>1241</v>
      </c>
      <c r="BCS1" s="98">
        <v>1242</v>
      </c>
      <c r="BCT1" s="98">
        <v>1243</v>
      </c>
      <c r="BCU1" s="98">
        <v>1244</v>
      </c>
      <c r="BCV1" s="98">
        <v>1245</v>
      </c>
      <c r="BCW1" s="98">
        <v>1246</v>
      </c>
      <c r="BCX1" s="98">
        <v>1247</v>
      </c>
      <c r="BCY1" s="98">
        <v>1248</v>
      </c>
      <c r="BCZ1" s="98">
        <v>1249</v>
      </c>
      <c r="BDA1" s="98">
        <v>1250</v>
      </c>
      <c r="BDB1" s="98">
        <v>1251</v>
      </c>
      <c r="BDC1" s="98">
        <v>1252</v>
      </c>
      <c r="BDD1" s="98">
        <v>1253</v>
      </c>
      <c r="BDE1" s="98">
        <v>1254</v>
      </c>
      <c r="BDF1" s="98">
        <v>1255</v>
      </c>
      <c r="BDG1" s="98">
        <v>1256</v>
      </c>
      <c r="BDH1" s="98">
        <v>1257</v>
      </c>
      <c r="BDI1" s="98">
        <v>1258</v>
      </c>
      <c r="BDJ1" s="98">
        <v>1259</v>
      </c>
      <c r="BDK1" s="98">
        <v>1260</v>
      </c>
      <c r="BDL1" s="98">
        <v>1261</v>
      </c>
      <c r="BDM1" s="98">
        <v>1262</v>
      </c>
      <c r="BDN1" s="98">
        <v>1263</v>
      </c>
      <c r="BDO1" s="98">
        <v>1264</v>
      </c>
      <c r="BDP1" s="98">
        <v>1265</v>
      </c>
      <c r="BDQ1" s="98">
        <v>1266</v>
      </c>
      <c r="BDR1" s="98">
        <v>1267</v>
      </c>
      <c r="BDS1" s="98">
        <v>1268</v>
      </c>
      <c r="BDT1" s="98">
        <v>1269</v>
      </c>
      <c r="BDU1" s="98">
        <v>1270</v>
      </c>
      <c r="BDV1" s="98">
        <v>1271</v>
      </c>
      <c r="BDW1" s="98">
        <v>1272</v>
      </c>
      <c r="BDX1" s="98">
        <v>1273</v>
      </c>
      <c r="BDY1" s="98">
        <v>1274</v>
      </c>
      <c r="BDZ1" s="98">
        <v>1275</v>
      </c>
      <c r="BEA1" s="98">
        <v>1276</v>
      </c>
      <c r="BEB1" s="98">
        <v>1277</v>
      </c>
      <c r="BEC1" s="98">
        <v>1278</v>
      </c>
      <c r="BED1" s="98">
        <v>1279</v>
      </c>
      <c r="BEE1" s="98">
        <v>1280</v>
      </c>
      <c r="BEF1" s="98">
        <v>1281</v>
      </c>
      <c r="BEG1" s="98">
        <v>1282</v>
      </c>
      <c r="BEH1" s="98">
        <v>1283</v>
      </c>
      <c r="BEI1" s="98">
        <v>1284</v>
      </c>
      <c r="BEJ1" s="98">
        <v>1285</v>
      </c>
      <c r="BEK1" s="98">
        <v>1286</v>
      </c>
      <c r="BEL1" s="98">
        <v>1287</v>
      </c>
      <c r="BEM1" s="98">
        <v>1288</v>
      </c>
      <c r="BEN1" s="98">
        <v>1289</v>
      </c>
      <c r="BEO1" s="98">
        <v>1290</v>
      </c>
      <c r="BEP1" s="98">
        <v>1291</v>
      </c>
      <c r="BEQ1" s="98">
        <v>1292</v>
      </c>
      <c r="BER1" s="98">
        <v>1293</v>
      </c>
      <c r="BES1" s="98">
        <v>1294</v>
      </c>
      <c r="BET1" s="98">
        <v>1295</v>
      </c>
      <c r="BEU1" s="98">
        <v>1296</v>
      </c>
      <c r="BEV1" s="98">
        <v>1297</v>
      </c>
      <c r="BEW1" s="98">
        <v>1298</v>
      </c>
      <c r="BEX1" s="98">
        <v>1299</v>
      </c>
      <c r="BEY1" s="98">
        <v>1300</v>
      </c>
      <c r="BEZ1" s="98">
        <v>1301</v>
      </c>
      <c r="BFA1" s="98">
        <v>1302</v>
      </c>
      <c r="BFB1" s="98">
        <v>1303</v>
      </c>
      <c r="BFC1" s="98">
        <v>1304</v>
      </c>
      <c r="BFD1" s="98">
        <v>1305</v>
      </c>
      <c r="BFE1" s="98">
        <v>1306</v>
      </c>
      <c r="BFF1" s="98">
        <v>1307</v>
      </c>
      <c r="BFG1" s="98">
        <v>1308</v>
      </c>
      <c r="BFH1" s="98">
        <v>1309</v>
      </c>
      <c r="BFI1" s="98">
        <v>1310</v>
      </c>
      <c r="BFJ1" s="98">
        <v>1311</v>
      </c>
      <c r="BFK1" s="98">
        <v>1312</v>
      </c>
      <c r="BFL1" s="98">
        <v>1313</v>
      </c>
      <c r="BFM1" s="98">
        <v>1314</v>
      </c>
      <c r="BFN1" s="98">
        <v>1315</v>
      </c>
      <c r="BFO1" s="98">
        <v>1316</v>
      </c>
      <c r="BFP1" s="98">
        <v>1317</v>
      </c>
      <c r="BFQ1" s="98">
        <v>1318</v>
      </c>
      <c r="BFR1" s="98">
        <v>1319</v>
      </c>
      <c r="BFS1" s="98">
        <v>1320</v>
      </c>
      <c r="BFT1" s="98">
        <v>1321</v>
      </c>
      <c r="BFU1" s="98">
        <v>1322</v>
      </c>
      <c r="BFV1" s="98">
        <v>1323</v>
      </c>
      <c r="BFW1" s="98">
        <v>1324</v>
      </c>
      <c r="BFX1" s="98">
        <v>1325</v>
      </c>
      <c r="BFY1" s="98">
        <v>1326</v>
      </c>
      <c r="BFZ1" s="98">
        <v>1327</v>
      </c>
      <c r="BGA1" s="98">
        <v>1328</v>
      </c>
      <c r="BGB1" s="98">
        <v>1329</v>
      </c>
      <c r="BGC1" s="98">
        <v>1330</v>
      </c>
      <c r="BGD1" s="98">
        <v>1331</v>
      </c>
      <c r="BGE1" s="98">
        <v>1332</v>
      </c>
      <c r="BGF1" s="98">
        <v>1333</v>
      </c>
      <c r="BGG1" s="98">
        <v>1334</v>
      </c>
      <c r="BGH1" s="98">
        <v>1335</v>
      </c>
      <c r="BGI1" s="98">
        <v>1336</v>
      </c>
      <c r="BGJ1" s="98">
        <v>1337</v>
      </c>
      <c r="BGK1" s="98">
        <v>1338</v>
      </c>
      <c r="BGL1" s="98">
        <v>1339</v>
      </c>
      <c r="BGM1" s="98">
        <v>1340</v>
      </c>
      <c r="BGN1" s="98">
        <v>1341</v>
      </c>
      <c r="BGO1" s="98">
        <v>1342</v>
      </c>
      <c r="BGP1" s="98">
        <v>1343</v>
      </c>
      <c r="BGQ1" s="98">
        <v>1344</v>
      </c>
      <c r="BGR1" s="98">
        <v>1345</v>
      </c>
      <c r="BGS1" s="98">
        <v>1346</v>
      </c>
      <c r="BGT1" s="98">
        <v>1347</v>
      </c>
      <c r="BGU1" s="98">
        <v>1348</v>
      </c>
      <c r="BGV1" s="98">
        <v>1349</v>
      </c>
      <c r="BGW1" s="98">
        <v>1350</v>
      </c>
      <c r="BGX1" s="98">
        <v>1351</v>
      </c>
      <c r="BGY1" s="98">
        <v>1352</v>
      </c>
      <c r="BGZ1" s="98">
        <v>1353</v>
      </c>
      <c r="BHA1" s="98">
        <v>1354</v>
      </c>
      <c r="BHB1" s="98">
        <v>1355</v>
      </c>
      <c r="BHC1" s="98">
        <v>1356</v>
      </c>
      <c r="BHD1" s="98">
        <v>1357</v>
      </c>
      <c r="BHE1" s="98">
        <v>1358</v>
      </c>
      <c r="BHF1" s="98">
        <v>1359</v>
      </c>
      <c r="BHG1" s="98">
        <v>1360</v>
      </c>
      <c r="BHH1" s="98">
        <v>1361</v>
      </c>
      <c r="BHI1" s="98">
        <v>1362</v>
      </c>
      <c r="BHJ1" s="98">
        <v>1363</v>
      </c>
      <c r="BHK1" s="98">
        <v>1364</v>
      </c>
      <c r="BHL1" s="98">
        <v>1365</v>
      </c>
      <c r="BHM1" s="98">
        <v>1366</v>
      </c>
      <c r="BHN1" s="98">
        <v>1367</v>
      </c>
      <c r="BHO1" s="98">
        <v>1368</v>
      </c>
      <c r="BHP1" s="98">
        <v>1369</v>
      </c>
      <c r="BHQ1" s="98">
        <v>1370</v>
      </c>
      <c r="BHR1" s="98">
        <v>1371</v>
      </c>
      <c r="BHS1" s="98">
        <v>1372</v>
      </c>
      <c r="BHT1" s="98">
        <v>1373</v>
      </c>
      <c r="BHU1" s="98">
        <v>1374</v>
      </c>
      <c r="BHV1" s="98">
        <v>1375</v>
      </c>
      <c r="BHW1" s="98">
        <v>1376</v>
      </c>
      <c r="BHX1" s="98">
        <v>1377</v>
      </c>
      <c r="BHY1" s="98">
        <v>1378</v>
      </c>
      <c r="BHZ1" s="98">
        <v>1379</v>
      </c>
      <c r="BIA1" s="98">
        <v>1380</v>
      </c>
      <c r="BIB1" s="98">
        <v>1381</v>
      </c>
      <c r="BIC1" s="98">
        <v>1382</v>
      </c>
      <c r="BID1" s="98">
        <v>1383</v>
      </c>
      <c r="BIE1" s="98">
        <v>1384</v>
      </c>
      <c r="BIF1" s="98">
        <v>1385</v>
      </c>
      <c r="BIG1" s="98">
        <v>1386</v>
      </c>
      <c r="BIH1" s="98">
        <v>1387</v>
      </c>
      <c r="BII1" s="98">
        <v>1388</v>
      </c>
      <c r="BIJ1" s="98">
        <v>1389</v>
      </c>
      <c r="BIK1" s="98">
        <v>1390</v>
      </c>
      <c r="BIL1" s="98">
        <v>1391</v>
      </c>
      <c r="BIM1" s="98">
        <v>1392</v>
      </c>
      <c r="BIN1" s="98">
        <v>1393</v>
      </c>
      <c r="BIO1" s="98">
        <v>1394</v>
      </c>
      <c r="BIP1" s="98">
        <v>1395</v>
      </c>
      <c r="BIQ1" s="98">
        <v>1396</v>
      </c>
      <c r="BIR1" s="98">
        <v>1397</v>
      </c>
      <c r="BIS1" s="98">
        <v>1398</v>
      </c>
      <c r="BIT1" s="98">
        <v>1399</v>
      </c>
      <c r="BIU1" s="98">
        <v>1400</v>
      </c>
      <c r="BIV1" s="98">
        <v>1401</v>
      </c>
      <c r="BIW1" s="98">
        <v>1402</v>
      </c>
      <c r="BIX1" s="98">
        <v>1403</v>
      </c>
      <c r="BIY1" s="98">
        <v>1404</v>
      </c>
      <c r="BIZ1" s="98">
        <v>1405</v>
      </c>
      <c r="BJA1" s="98">
        <v>1406</v>
      </c>
      <c r="BJB1" s="98">
        <v>1407</v>
      </c>
      <c r="BJC1" s="98">
        <v>1408</v>
      </c>
      <c r="BJD1" s="98">
        <v>1409</v>
      </c>
      <c r="BJE1" s="98">
        <v>1410</v>
      </c>
      <c r="BJF1" s="98">
        <v>1411</v>
      </c>
      <c r="BJG1" s="98">
        <v>1412</v>
      </c>
      <c r="BJH1" s="98">
        <v>1413</v>
      </c>
      <c r="BJI1" s="98">
        <v>1414</v>
      </c>
      <c r="BJJ1" s="98">
        <v>1415</v>
      </c>
      <c r="BJK1" s="98">
        <v>1416</v>
      </c>
      <c r="BJL1" s="98">
        <v>1417</v>
      </c>
      <c r="BJM1" s="98">
        <v>1418</v>
      </c>
      <c r="BJN1" s="98">
        <v>1419</v>
      </c>
      <c r="BJO1" s="98">
        <v>1420</v>
      </c>
      <c r="BJP1" s="98">
        <v>1421</v>
      </c>
      <c r="BJQ1" s="98">
        <v>1422</v>
      </c>
      <c r="BJR1" s="98">
        <v>1423</v>
      </c>
      <c r="BJS1" s="98">
        <v>1424</v>
      </c>
      <c r="BJT1" s="98">
        <v>1425</v>
      </c>
      <c r="BJU1" s="98">
        <v>1426</v>
      </c>
      <c r="BJV1" s="98">
        <v>1427</v>
      </c>
      <c r="BJW1" s="98">
        <v>1428</v>
      </c>
      <c r="BJX1" s="98">
        <v>1429</v>
      </c>
      <c r="BJY1" s="98">
        <v>1430</v>
      </c>
      <c r="BJZ1" s="98">
        <v>1431</v>
      </c>
      <c r="BKA1" s="98">
        <v>1432</v>
      </c>
      <c r="BKB1" s="98">
        <v>1433</v>
      </c>
      <c r="BKC1" s="98">
        <v>1434</v>
      </c>
      <c r="BKD1" s="98">
        <v>1435</v>
      </c>
      <c r="BKE1" s="98">
        <v>1436</v>
      </c>
      <c r="BKF1" s="98">
        <v>1437</v>
      </c>
      <c r="BKG1" s="98">
        <v>1438</v>
      </c>
      <c r="BKH1" s="98">
        <v>1439</v>
      </c>
      <c r="BKI1" s="98">
        <v>1440</v>
      </c>
      <c r="BKJ1" s="98">
        <v>1441</v>
      </c>
      <c r="BKK1" s="98">
        <v>1442</v>
      </c>
      <c r="BKL1" s="98">
        <v>1443</v>
      </c>
      <c r="BKM1" s="98">
        <v>1444</v>
      </c>
      <c r="BKN1" s="98">
        <v>1445</v>
      </c>
      <c r="BKO1" s="98">
        <v>1446</v>
      </c>
      <c r="BKP1" s="98">
        <v>1447</v>
      </c>
      <c r="BKQ1" s="98">
        <v>1448</v>
      </c>
      <c r="BKR1" s="98">
        <v>1449</v>
      </c>
      <c r="BKS1" s="98">
        <v>1450</v>
      </c>
      <c r="BKT1" s="98">
        <v>1451</v>
      </c>
      <c r="BKU1" s="98">
        <v>1452</v>
      </c>
      <c r="BKV1" s="98">
        <v>1453</v>
      </c>
      <c r="BKW1" s="98">
        <v>1454</v>
      </c>
      <c r="BKX1" s="98">
        <v>1455</v>
      </c>
      <c r="BKY1" s="98">
        <v>1456</v>
      </c>
      <c r="BKZ1" s="98">
        <v>1457</v>
      </c>
      <c r="BLA1" s="98">
        <v>1458</v>
      </c>
      <c r="BLB1" s="98">
        <v>1459</v>
      </c>
      <c r="BLC1" s="98">
        <v>1460</v>
      </c>
      <c r="BLD1" s="98">
        <v>1461</v>
      </c>
      <c r="BLE1" s="98">
        <v>1462</v>
      </c>
      <c r="BLF1" s="98">
        <v>1463</v>
      </c>
      <c r="BLG1" s="98">
        <v>1464</v>
      </c>
      <c r="BLH1" s="98">
        <v>1465</v>
      </c>
      <c r="BLI1" s="98">
        <v>1466</v>
      </c>
      <c r="BLJ1" s="98">
        <v>1467</v>
      </c>
      <c r="BLK1" s="98">
        <v>1468</v>
      </c>
      <c r="BLL1" s="98">
        <v>1469</v>
      </c>
      <c r="BLM1" s="98">
        <v>1470</v>
      </c>
      <c r="BLN1" s="98">
        <v>1471</v>
      </c>
      <c r="BLO1" s="98">
        <v>1472</v>
      </c>
      <c r="BLP1" s="98">
        <v>1473</v>
      </c>
      <c r="BLQ1" s="98">
        <v>1474</v>
      </c>
      <c r="BLR1" s="98">
        <v>1475</v>
      </c>
      <c r="BLS1" s="98">
        <v>1476</v>
      </c>
      <c r="BLT1" s="98">
        <v>1477</v>
      </c>
      <c r="BLU1" s="98">
        <v>1478</v>
      </c>
      <c r="BLV1" s="98">
        <v>1479</v>
      </c>
      <c r="BLW1" s="98">
        <v>1480</v>
      </c>
      <c r="BLX1" s="98">
        <v>1481</v>
      </c>
      <c r="BLY1" s="98">
        <v>1482</v>
      </c>
      <c r="BLZ1" s="98">
        <v>1483</v>
      </c>
      <c r="BMA1" s="98">
        <v>1484</v>
      </c>
      <c r="BMB1" s="98">
        <v>1485</v>
      </c>
      <c r="BMC1" s="98">
        <v>1486</v>
      </c>
      <c r="BMD1" s="98">
        <v>1487</v>
      </c>
      <c r="BME1" s="98">
        <v>1488</v>
      </c>
      <c r="BMF1" s="98">
        <v>1489</v>
      </c>
      <c r="BMG1" s="98">
        <v>1490</v>
      </c>
      <c r="BMH1" s="98">
        <v>1491</v>
      </c>
      <c r="BMI1" s="98">
        <v>1492</v>
      </c>
      <c r="BMJ1" s="98">
        <v>1493</v>
      </c>
      <c r="BMK1" s="98">
        <v>1494</v>
      </c>
      <c r="BML1" s="98">
        <v>1495</v>
      </c>
      <c r="BMM1" s="98">
        <v>1496</v>
      </c>
      <c r="BMN1" s="98">
        <v>1497</v>
      </c>
      <c r="BMO1" s="98">
        <v>1498</v>
      </c>
      <c r="BMP1" s="98">
        <v>1499</v>
      </c>
      <c r="BMQ1" s="98">
        <v>1500</v>
      </c>
      <c r="BMR1" s="98">
        <v>1501</v>
      </c>
      <c r="BMS1" s="98">
        <v>1502</v>
      </c>
      <c r="BMT1" s="98">
        <v>1503</v>
      </c>
      <c r="BMU1" s="98">
        <v>1504</v>
      </c>
      <c r="BMV1" s="98">
        <v>1505</v>
      </c>
      <c r="BMW1" s="98">
        <v>1506</v>
      </c>
      <c r="BMX1" s="98">
        <v>1507</v>
      </c>
      <c r="BMY1" s="98">
        <v>1508</v>
      </c>
      <c r="BMZ1" s="98">
        <v>1509</v>
      </c>
      <c r="BNA1" s="98">
        <v>1510</v>
      </c>
      <c r="BNB1" s="98">
        <v>1511</v>
      </c>
      <c r="BNC1" s="98">
        <v>1512</v>
      </c>
      <c r="BND1" s="98">
        <v>1513</v>
      </c>
      <c r="BNE1" s="98">
        <v>1514</v>
      </c>
      <c r="BNF1" s="98">
        <v>1515</v>
      </c>
      <c r="BNG1" s="98">
        <v>1516</v>
      </c>
      <c r="BNH1" s="98">
        <v>1517</v>
      </c>
      <c r="BNI1" s="98">
        <v>1518</v>
      </c>
      <c r="BNJ1" s="98">
        <v>1519</v>
      </c>
      <c r="BNK1" s="98">
        <v>1520</v>
      </c>
      <c r="BNL1" s="98">
        <v>1521</v>
      </c>
      <c r="BNM1" s="98">
        <v>1522</v>
      </c>
      <c r="BNN1" s="98">
        <v>1523</v>
      </c>
      <c r="BNO1" s="98">
        <v>1524</v>
      </c>
      <c r="BNP1" s="98">
        <v>1525</v>
      </c>
      <c r="BNQ1" s="98">
        <v>1526</v>
      </c>
      <c r="BNR1" s="98">
        <v>1527</v>
      </c>
      <c r="BNS1" s="98">
        <v>1528</v>
      </c>
      <c r="BNT1" s="98">
        <v>1529</v>
      </c>
      <c r="BNU1" s="98">
        <v>1530</v>
      </c>
      <c r="BNV1" s="98">
        <v>1531</v>
      </c>
      <c r="BNW1" s="98">
        <v>1532</v>
      </c>
      <c r="BNX1" s="98">
        <v>1533</v>
      </c>
      <c r="BNY1" s="98">
        <v>1534</v>
      </c>
      <c r="BNZ1" s="98">
        <v>1535</v>
      </c>
      <c r="BOA1" s="98">
        <v>1536</v>
      </c>
      <c r="BOB1" s="98">
        <v>1537</v>
      </c>
      <c r="BOC1" s="98">
        <v>1538</v>
      </c>
      <c r="BOD1" s="98">
        <v>1539</v>
      </c>
      <c r="BOE1" s="98">
        <v>1540</v>
      </c>
      <c r="BOF1" s="98">
        <v>1541</v>
      </c>
      <c r="BOG1" s="98">
        <v>1542</v>
      </c>
      <c r="BOH1" s="98">
        <v>1543</v>
      </c>
      <c r="BOI1" s="98">
        <v>1544</v>
      </c>
      <c r="BOJ1" s="98">
        <v>1545</v>
      </c>
      <c r="BOK1" s="98">
        <v>1546</v>
      </c>
      <c r="BOL1" s="98">
        <v>1547</v>
      </c>
      <c r="BOM1" s="98">
        <v>1548</v>
      </c>
      <c r="BON1" s="98">
        <v>1549</v>
      </c>
      <c r="BOO1" s="98">
        <v>1550</v>
      </c>
      <c r="BOP1" s="98">
        <v>1551</v>
      </c>
      <c r="BOQ1" s="98">
        <v>1552</v>
      </c>
      <c r="BOR1" s="98">
        <v>1553</v>
      </c>
      <c r="BOS1" s="98">
        <v>1554</v>
      </c>
      <c r="BOT1" s="98">
        <v>1555</v>
      </c>
      <c r="BOU1" s="98">
        <v>1556</v>
      </c>
      <c r="BOV1" s="98">
        <v>1557</v>
      </c>
      <c r="BOW1" s="98">
        <v>1558</v>
      </c>
      <c r="BOX1" s="98">
        <v>1559</v>
      </c>
      <c r="BOY1" s="98">
        <v>1560</v>
      </c>
      <c r="BOZ1" s="98">
        <v>1561</v>
      </c>
      <c r="BPA1" s="98">
        <v>1562</v>
      </c>
      <c r="BPB1" s="98">
        <v>1563</v>
      </c>
      <c r="BPC1" s="98">
        <v>1564</v>
      </c>
      <c r="BPD1" s="98">
        <v>1565</v>
      </c>
      <c r="BPE1" s="98">
        <v>1566</v>
      </c>
      <c r="BPF1" s="98">
        <v>1567</v>
      </c>
      <c r="BPG1" s="98">
        <v>1568</v>
      </c>
      <c r="BPH1" s="98">
        <v>1569</v>
      </c>
      <c r="BPI1" s="98">
        <v>1570</v>
      </c>
      <c r="BPJ1" s="98">
        <v>1571</v>
      </c>
      <c r="BPK1" s="98">
        <v>1572</v>
      </c>
      <c r="BPL1" s="98">
        <v>1573</v>
      </c>
      <c r="BPM1" s="98">
        <v>1574</v>
      </c>
      <c r="BPN1" s="98">
        <v>1575</v>
      </c>
      <c r="BPO1" s="98">
        <v>1576</v>
      </c>
      <c r="BPP1" s="98">
        <v>1577</v>
      </c>
      <c r="BPQ1" s="98">
        <v>1578</v>
      </c>
      <c r="BPR1" s="98">
        <v>1579</v>
      </c>
      <c r="BPS1" s="98">
        <v>1580</v>
      </c>
      <c r="BPT1" s="98">
        <v>1581</v>
      </c>
      <c r="BPU1" s="98">
        <v>1582</v>
      </c>
      <c r="BPV1" s="98">
        <v>1583</v>
      </c>
      <c r="BPW1" s="98">
        <v>1584</v>
      </c>
      <c r="BPX1" s="98">
        <v>1585</v>
      </c>
      <c r="BPY1" s="98">
        <v>1586</v>
      </c>
      <c r="BPZ1" s="98">
        <v>1587</v>
      </c>
      <c r="BQA1" s="98">
        <v>1588</v>
      </c>
      <c r="BQB1" s="98">
        <v>1589</v>
      </c>
      <c r="BQC1" s="98">
        <v>1590</v>
      </c>
      <c r="BQD1" s="98">
        <v>1591</v>
      </c>
      <c r="BQE1" s="98">
        <v>1592</v>
      </c>
      <c r="BQF1" s="98">
        <v>1593</v>
      </c>
      <c r="BQG1" s="98">
        <v>1594</v>
      </c>
      <c r="BQH1" s="98">
        <v>1595</v>
      </c>
      <c r="BQI1" s="98">
        <v>1596</v>
      </c>
      <c r="BQJ1" s="98">
        <v>1597</v>
      </c>
      <c r="BQK1" s="98">
        <v>1598</v>
      </c>
      <c r="BQL1" s="98">
        <v>1599</v>
      </c>
      <c r="BQM1" s="98">
        <v>1600</v>
      </c>
      <c r="BQN1" s="98">
        <v>1601</v>
      </c>
      <c r="BQO1" s="98">
        <v>1602</v>
      </c>
      <c r="BQP1" s="98">
        <v>1603</v>
      </c>
      <c r="BQQ1" s="98">
        <v>1604</v>
      </c>
      <c r="BQR1" s="98">
        <v>1605</v>
      </c>
      <c r="BQS1" s="98">
        <v>1606</v>
      </c>
      <c r="BQT1" s="98">
        <v>1607</v>
      </c>
      <c r="BQU1" s="98">
        <v>1608</v>
      </c>
      <c r="BQV1" s="98">
        <v>1609</v>
      </c>
      <c r="BQW1" s="98">
        <v>1610</v>
      </c>
      <c r="BQX1" s="98">
        <v>1611</v>
      </c>
      <c r="BQY1" s="98">
        <v>1612</v>
      </c>
      <c r="BQZ1" s="98">
        <v>1613</v>
      </c>
      <c r="BRA1" s="98">
        <v>1614</v>
      </c>
      <c r="BRB1" s="98">
        <v>1615</v>
      </c>
      <c r="BRC1" s="98">
        <v>1616</v>
      </c>
      <c r="BRD1" s="98">
        <v>1617</v>
      </c>
      <c r="BRE1" s="98">
        <v>1618</v>
      </c>
      <c r="BRF1" s="98">
        <v>1619</v>
      </c>
      <c r="BRG1" s="98">
        <v>1620</v>
      </c>
      <c r="BRH1" s="98">
        <v>1621</v>
      </c>
      <c r="BRI1" s="98">
        <v>1622</v>
      </c>
      <c r="BRJ1" s="98">
        <v>1623</v>
      </c>
      <c r="BRK1" s="98">
        <v>1624</v>
      </c>
      <c r="BRL1" s="98">
        <v>1625</v>
      </c>
      <c r="BRM1" s="98">
        <v>1626</v>
      </c>
      <c r="BRN1" s="98">
        <v>1627</v>
      </c>
      <c r="BRO1" s="98">
        <v>1628</v>
      </c>
      <c r="BRP1" s="98">
        <v>1629</v>
      </c>
      <c r="BRQ1" s="98">
        <v>1630</v>
      </c>
      <c r="BRR1" s="98">
        <v>1631</v>
      </c>
      <c r="BRS1" s="98">
        <v>1632</v>
      </c>
      <c r="BRT1" s="98">
        <v>1633</v>
      </c>
      <c r="BRU1" s="98">
        <v>1634</v>
      </c>
      <c r="BRV1" s="98">
        <v>1635</v>
      </c>
      <c r="BRW1" s="98">
        <v>1636</v>
      </c>
      <c r="BRX1" s="98">
        <v>1637</v>
      </c>
      <c r="BRY1" s="98">
        <v>1638</v>
      </c>
      <c r="BRZ1" s="98">
        <v>1639</v>
      </c>
      <c r="BSA1" s="98">
        <v>1640</v>
      </c>
      <c r="BSB1" s="98">
        <v>1641</v>
      </c>
      <c r="BSC1" s="98">
        <v>1642</v>
      </c>
      <c r="BSD1" s="98">
        <v>1643</v>
      </c>
      <c r="BSE1" s="98">
        <v>1644</v>
      </c>
      <c r="BSF1" s="98">
        <v>1645</v>
      </c>
      <c r="BSG1" s="98">
        <v>1646</v>
      </c>
      <c r="BSH1" s="98">
        <v>1647</v>
      </c>
      <c r="BSI1" s="98">
        <v>1648</v>
      </c>
      <c r="BSJ1" s="98">
        <v>1649</v>
      </c>
      <c r="BSK1" s="98">
        <v>1650</v>
      </c>
      <c r="BSL1" s="98">
        <v>1651</v>
      </c>
      <c r="BSM1" s="98">
        <v>1652</v>
      </c>
      <c r="BSN1" s="98">
        <v>1653</v>
      </c>
      <c r="BSO1" s="98">
        <v>1654</v>
      </c>
      <c r="BSP1" s="98">
        <v>1655</v>
      </c>
      <c r="BSQ1" s="98">
        <v>1656</v>
      </c>
      <c r="BSR1" s="98">
        <v>1657</v>
      </c>
      <c r="BSS1" s="98">
        <v>1658</v>
      </c>
      <c r="BST1" s="98">
        <v>1659</v>
      </c>
      <c r="BSU1" s="98">
        <v>1660</v>
      </c>
      <c r="BSV1" s="98">
        <v>1661</v>
      </c>
      <c r="BSW1" s="98">
        <v>1662</v>
      </c>
      <c r="BSX1" s="98">
        <v>1663</v>
      </c>
      <c r="BSY1" s="98">
        <v>1664</v>
      </c>
      <c r="BSZ1" s="98">
        <v>1665</v>
      </c>
      <c r="BTA1" s="98">
        <v>1666</v>
      </c>
      <c r="BTB1" s="98">
        <v>1667</v>
      </c>
      <c r="BTC1" s="98">
        <v>1668</v>
      </c>
      <c r="BTD1" s="98">
        <v>1669</v>
      </c>
      <c r="BTE1" s="98">
        <v>1670</v>
      </c>
      <c r="BTF1" s="98">
        <v>1671</v>
      </c>
      <c r="BTG1" s="98">
        <v>1672</v>
      </c>
      <c r="BTH1" s="98">
        <v>1673</v>
      </c>
      <c r="BTI1" s="98">
        <v>1674</v>
      </c>
      <c r="BTJ1" s="98">
        <v>1675</v>
      </c>
      <c r="BTK1" s="98">
        <v>1676</v>
      </c>
      <c r="BTL1" s="98">
        <v>1677</v>
      </c>
      <c r="BTM1" s="98">
        <v>1678</v>
      </c>
      <c r="BTN1" s="98">
        <v>1679</v>
      </c>
      <c r="BTO1" s="98">
        <v>1680</v>
      </c>
      <c r="BTP1" s="98">
        <v>1681</v>
      </c>
      <c r="BTQ1" s="98">
        <v>1682</v>
      </c>
      <c r="BTR1" s="98">
        <v>1683</v>
      </c>
      <c r="BTS1" s="98">
        <v>1684</v>
      </c>
      <c r="BTT1" s="98">
        <v>1685</v>
      </c>
      <c r="BTU1" s="98">
        <v>1686</v>
      </c>
      <c r="BTV1" s="98">
        <v>1687</v>
      </c>
      <c r="BTW1" s="98">
        <v>1688</v>
      </c>
      <c r="BTX1" s="98">
        <v>1689</v>
      </c>
      <c r="BTY1" s="98">
        <v>1690</v>
      </c>
      <c r="BTZ1" s="98">
        <v>1691</v>
      </c>
      <c r="BUA1" s="98">
        <v>1692</v>
      </c>
      <c r="BUB1" s="98">
        <v>1693</v>
      </c>
      <c r="BUC1" s="98">
        <v>1694</v>
      </c>
      <c r="BUD1" s="98">
        <v>1695</v>
      </c>
      <c r="BUE1" s="98">
        <v>1696</v>
      </c>
      <c r="BUF1" s="98">
        <v>1697</v>
      </c>
      <c r="BUG1" s="98">
        <v>1698</v>
      </c>
      <c r="BUH1" s="98">
        <v>1699</v>
      </c>
      <c r="BUI1" s="98">
        <v>1700</v>
      </c>
      <c r="BUJ1" s="98">
        <v>1701</v>
      </c>
      <c r="BUK1" s="98">
        <v>1702</v>
      </c>
      <c r="BUL1" s="98">
        <v>1703</v>
      </c>
      <c r="BUM1" s="98">
        <v>1704</v>
      </c>
      <c r="BUN1" s="98">
        <v>1705</v>
      </c>
      <c r="BUO1" s="98">
        <v>1706</v>
      </c>
      <c r="BUP1" s="98">
        <v>1707</v>
      </c>
      <c r="BUQ1" s="98">
        <v>1708</v>
      </c>
      <c r="BUR1" s="98">
        <v>1709</v>
      </c>
      <c r="BUS1" s="98">
        <v>1710</v>
      </c>
      <c r="BUT1" s="98">
        <v>1711</v>
      </c>
      <c r="BUU1" s="98">
        <v>1712</v>
      </c>
      <c r="BUV1" s="98">
        <v>1713</v>
      </c>
      <c r="BUW1" s="98">
        <v>1714</v>
      </c>
      <c r="BUX1" s="98">
        <v>1715</v>
      </c>
      <c r="BUY1" s="98">
        <v>1716</v>
      </c>
      <c r="BUZ1" s="98">
        <v>1717</v>
      </c>
      <c r="BVA1" s="98">
        <v>1718</v>
      </c>
      <c r="BVB1" s="98">
        <v>1719</v>
      </c>
      <c r="BVC1" s="98">
        <v>1720</v>
      </c>
      <c r="BVD1" s="98">
        <v>1721</v>
      </c>
      <c r="BVE1" s="98">
        <v>1722</v>
      </c>
      <c r="BVF1" s="98">
        <v>1723</v>
      </c>
      <c r="BVG1" s="98">
        <v>1724</v>
      </c>
      <c r="BVH1" s="98">
        <v>1725</v>
      </c>
      <c r="BVI1" s="98">
        <v>1726</v>
      </c>
      <c r="BVJ1" s="98">
        <v>1727</v>
      </c>
      <c r="BVK1" s="98">
        <v>1728</v>
      </c>
      <c r="BVL1" s="98">
        <v>1729</v>
      </c>
      <c r="BVM1" s="98">
        <v>1730</v>
      </c>
      <c r="BVN1" s="98">
        <v>1731</v>
      </c>
      <c r="BVO1" s="98">
        <v>1732</v>
      </c>
      <c r="BVP1" s="98">
        <v>1733</v>
      </c>
      <c r="BVQ1" s="98">
        <v>1734</v>
      </c>
      <c r="BVR1" s="98">
        <v>1735</v>
      </c>
      <c r="BVS1" s="98">
        <v>1736</v>
      </c>
      <c r="BVT1" s="98">
        <v>1737</v>
      </c>
      <c r="BVU1" s="98">
        <v>1738</v>
      </c>
      <c r="BVV1" s="98">
        <v>1739</v>
      </c>
      <c r="BVW1" s="98">
        <v>1740</v>
      </c>
      <c r="BVX1" s="98">
        <v>1741</v>
      </c>
      <c r="BVY1" s="98">
        <v>1742</v>
      </c>
      <c r="BVZ1" s="98">
        <v>1743</v>
      </c>
      <c r="BWA1" s="98">
        <v>1744</v>
      </c>
      <c r="BWB1" s="98">
        <v>1745</v>
      </c>
      <c r="BWC1" s="98">
        <v>1746</v>
      </c>
      <c r="BWD1" s="98">
        <v>1747</v>
      </c>
      <c r="BWE1" s="98">
        <v>1748</v>
      </c>
      <c r="BWF1" s="98">
        <v>1749</v>
      </c>
      <c r="BWG1" s="98">
        <v>1750</v>
      </c>
      <c r="BWH1" s="98">
        <v>1751</v>
      </c>
      <c r="BWI1" s="98">
        <v>1752</v>
      </c>
      <c r="BWJ1" s="98">
        <v>1753</v>
      </c>
      <c r="BWK1" s="98">
        <v>1754</v>
      </c>
      <c r="BWL1" s="98">
        <v>1755</v>
      </c>
      <c r="BWM1" s="98">
        <v>1756</v>
      </c>
      <c r="BWN1" s="98">
        <v>1757</v>
      </c>
      <c r="BWO1" s="98">
        <v>1758</v>
      </c>
      <c r="BWP1" s="98">
        <v>1759</v>
      </c>
      <c r="BWQ1" s="98">
        <v>1760</v>
      </c>
      <c r="BWR1" s="98">
        <v>1761</v>
      </c>
      <c r="BWS1" s="98">
        <v>1762</v>
      </c>
      <c r="BWT1" s="98">
        <v>1763</v>
      </c>
      <c r="BWU1" s="98">
        <v>1764</v>
      </c>
      <c r="BWV1" s="98">
        <v>1765</v>
      </c>
      <c r="BWW1" s="98">
        <v>1766</v>
      </c>
      <c r="BWX1" s="98">
        <v>1767</v>
      </c>
      <c r="BWY1" s="98">
        <v>1768</v>
      </c>
      <c r="BWZ1" s="98">
        <v>1769</v>
      </c>
      <c r="BXA1" s="98">
        <v>1770</v>
      </c>
      <c r="BXB1" s="98">
        <v>1771</v>
      </c>
      <c r="BXC1" s="98">
        <v>1772</v>
      </c>
      <c r="BXD1" s="98">
        <v>1773</v>
      </c>
      <c r="BXE1" s="98">
        <v>1774</v>
      </c>
      <c r="BXF1" s="98">
        <v>1775</v>
      </c>
      <c r="BXG1" s="98">
        <v>1776</v>
      </c>
      <c r="BXH1" s="98">
        <v>1777</v>
      </c>
      <c r="BXI1" s="98">
        <v>1778</v>
      </c>
      <c r="BXJ1" s="98">
        <v>1779</v>
      </c>
      <c r="BXK1" s="98">
        <v>1780</v>
      </c>
      <c r="BXL1" s="98">
        <v>1781</v>
      </c>
      <c r="BXM1" s="98">
        <v>1782</v>
      </c>
      <c r="BXN1" s="98">
        <v>1783</v>
      </c>
      <c r="BXO1" s="98">
        <v>1784</v>
      </c>
      <c r="BXP1" s="98">
        <v>1785</v>
      </c>
      <c r="BXQ1" s="98">
        <v>1786</v>
      </c>
      <c r="BXR1" s="98">
        <v>1787</v>
      </c>
      <c r="BXS1" s="98">
        <v>1788</v>
      </c>
      <c r="BXT1" s="98">
        <v>1789</v>
      </c>
      <c r="BXU1" s="98">
        <v>1790</v>
      </c>
      <c r="BXV1" s="104" t="s">
        <v>226</v>
      </c>
      <c r="BXW1" s="98" t="s">
        <v>147</v>
      </c>
      <c r="BXX1" s="98" t="s">
        <v>146</v>
      </c>
      <c r="BXY1" s="98" t="s">
        <v>76</v>
      </c>
      <c r="BXZ1" s="98" t="s">
        <v>61</v>
      </c>
      <c r="BYA1" s="98" t="s">
        <v>62</v>
      </c>
      <c r="BYB1" s="98" t="s">
        <v>77</v>
      </c>
      <c r="BYC1" s="98" t="s">
        <v>63</v>
      </c>
      <c r="BYD1" s="98" t="s">
        <v>64</v>
      </c>
      <c r="BYE1" s="98" t="s">
        <v>78</v>
      </c>
      <c r="BYF1" s="98" t="s">
        <v>65</v>
      </c>
      <c r="BYG1" s="98" t="s">
        <v>66</v>
      </c>
      <c r="BYH1" s="98" t="s">
        <v>79</v>
      </c>
      <c r="BYI1" s="98" t="s">
        <v>67</v>
      </c>
      <c r="BYJ1" s="98" t="s">
        <v>80</v>
      </c>
      <c r="BYK1" s="98">
        <v>5</v>
      </c>
      <c r="BYL1" s="98" t="s">
        <v>68</v>
      </c>
      <c r="BYM1" s="98" t="s">
        <v>69</v>
      </c>
      <c r="BYN1" s="98" t="s">
        <v>81</v>
      </c>
      <c r="BYO1" s="98" t="s">
        <v>70</v>
      </c>
      <c r="BYP1" s="98" t="s">
        <v>71</v>
      </c>
      <c r="BYQ1" s="98" t="s">
        <v>82</v>
      </c>
      <c r="BYR1" s="98" t="s">
        <v>72</v>
      </c>
      <c r="BYS1" s="98" t="s">
        <v>73</v>
      </c>
      <c r="BYT1" s="98" t="s">
        <v>83</v>
      </c>
      <c r="BYU1" s="98" t="s">
        <v>74</v>
      </c>
      <c r="BYV1" s="98" t="s">
        <v>75</v>
      </c>
      <c r="BYX1" s="98" t="s">
        <v>420</v>
      </c>
      <c r="BYY1" s="98" t="s">
        <v>160</v>
      </c>
      <c r="BYZ1" s="98" t="s">
        <v>161</v>
      </c>
      <c r="BZA1" s="98" t="s">
        <v>162</v>
      </c>
      <c r="BZB1" s="98" t="s">
        <v>163</v>
      </c>
      <c r="BZC1" s="98" t="s">
        <v>164</v>
      </c>
      <c r="BZD1" s="98" t="s">
        <v>165</v>
      </c>
      <c r="BZE1" s="98" t="s">
        <v>166</v>
      </c>
      <c r="BZF1" s="98" t="s">
        <v>167</v>
      </c>
      <c r="BZG1" s="98" t="s">
        <v>168</v>
      </c>
      <c r="BZH1" s="98" t="s">
        <v>169</v>
      </c>
      <c r="BZI1" s="98" t="s">
        <v>170</v>
      </c>
      <c r="BZJ1" s="98" t="s">
        <v>171</v>
      </c>
      <c r="BZK1" s="98" t="s">
        <v>172</v>
      </c>
      <c r="BZL1" s="98" t="s">
        <v>173</v>
      </c>
      <c r="BZM1" s="98" t="s">
        <v>174</v>
      </c>
      <c r="BZN1" s="98" t="s">
        <v>175</v>
      </c>
      <c r="BZO1" s="98" t="s">
        <v>176</v>
      </c>
      <c r="BZP1" s="98" t="s">
        <v>177</v>
      </c>
      <c r="BZQ1" s="98" t="s">
        <v>178</v>
      </c>
      <c r="BZR1" s="98" t="s">
        <v>179</v>
      </c>
      <c r="BZS1" s="98" t="s">
        <v>180</v>
      </c>
      <c r="BZT1" s="98" t="s">
        <v>181</v>
      </c>
      <c r="BZU1" s="98" t="s">
        <v>182</v>
      </c>
      <c r="BZV1" s="98" t="s">
        <v>183</v>
      </c>
      <c r="BZW1" s="98" t="s">
        <v>184</v>
      </c>
      <c r="BZX1" s="98" t="s">
        <v>185</v>
      </c>
      <c r="BZY1" s="98" t="s">
        <v>186</v>
      </c>
      <c r="BZZ1" s="98" t="s">
        <v>187</v>
      </c>
      <c r="CAA1" s="98" t="s">
        <v>188</v>
      </c>
      <c r="CAB1" s="98" t="s">
        <v>189</v>
      </c>
      <c r="CAD1" s="98" t="s">
        <v>0</v>
      </c>
      <c r="CAE1" s="98" t="s">
        <v>148</v>
      </c>
      <c r="CAF1" s="98" t="s">
        <v>149</v>
      </c>
      <c r="CAG1" s="98" t="s">
        <v>58</v>
      </c>
      <c r="CAH1" s="98" t="s">
        <v>27</v>
      </c>
      <c r="CAI1" s="98" t="s">
        <v>153</v>
      </c>
      <c r="CAJ1" s="98" t="s">
        <v>151</v>
      </c>
      <c r="CAK1" s="98" t="s">
        <v>150</v>
      </c>
      <c r="CAM1" s="98" t="s">
        <v>227</v>
      </c>
      <c r="CAN1" s="98" t="s">
        <v>228</v>
      </c>
      <c r="CAO1" s="98" t="s">
        <v>287</v>
      </c>
      <c r="CAP1" s="98" t="s">
        <v>318</v>
      </c>
      <c r="CAQ1" s="98" t="s">
        <v>319</v>
      </c>
      <c r="CAR1" s="98" t="s">
        <v>229</v>
      </c>
      <c r="CAS1" s="98" t="s">
        <v>230</v>
      </c>
      <c r="CAT1" s="98" t="s">
        <v>288</v>
      </c>
      <c r="CAU1" s="98" t="s">
        <v>320</v>
      </c>
      <c r="CAV1" s="98" t="s">
        <v>321</v>
      </c>
      <c r="CAW1" s="98" t="s">
        <v>231</v>
      </c>
      <c r="CAX1" s="98" t="s">
        <v>232</v>
      </c>
      <c r="CAY1" s="98" t="s">
        <v>289</v>
      </c>
      <c r="CAZ1" s="98" t="s">
        <v>322</v>
      </c>
      <c r="CBA1" s="98" t="s">
        <v>323</v>
      </c>
      <c r="CBB1" s="98" t="s">
        <v>233</v>
      </c>
      <c r="CBC1" s="98" t="s">
        <v>234</v>
      </c>
      <c r="CBD1" s="98" t="s">
        <v>290</v>
      </c>
      <c r="CBE1" s="98" t="s">
        <v>324</v>
      </c>
      <c r="CBF1" s="98" t="s">
        <v>325</v>
      </c>
      <c r="CBG1" s="98" t="s">
        <v>235</v>
      </c>
      <c r="CBH1" s="98" t="s">
        <v>236</v>
      </c>
      <c r="CBI1" s="98" t="s">
        <v>291</v>
      </c>
      <c r="CBJ1" s="98" t="s">
        <v>326</v>
      </c>
      <c r="CBK1" s="98" t="s">
        <v>327</v>
      </c>
      <c r="CBL1" s="98" t="s">
        <v>237</v>
      </c>
      <c r="CBM1" s="98" t="s">
        <v>238</v>
      </c>
      <c r="CBN1" s="98" t="s">
        <v>292</v>
      </c>
      <c r="CBO1" s="98" t="s">
        <v>328</v>
      </c>
      <c r="CBP1" s="98" t="s">
        <v>329</v>
      </c>
      <c r="CBQ1" s="98" t="s">
        <v>239</v>
      </c>
      <c r="CBR1" s="98" t="s">
        <v>240</v>
      </c>
      <c r="CBS1" s="98" t="s">
        <v>293</v>
      </c>
      <c r="CBT1" s="98" t="s">
        <v>330</v>
      </c>
      <c r="CBU1" s="98" t="s">
        <v>331</v>
      </c>
      <c r="CBV1" s="98" t="s">
        <v>241</v>
      </c>
      <c r="CBW1" s="98" t="s">
        <v>242</v>
      </c>
      <c r="CBX1" s="98" t="s">
        <v>294</v>
      </c>
      <c r="CBY1" s="98" t="s">
        <v>332</v>
      </c>
      <c r="CBZ1" s="98" t="s">
        <v>333</v>
      </c>
      <c r="CCA1" s="98" t="s">
        <v>243</v>
      </c>
      <c r="CCB1" s="98" t="s">
        <v>244</v>
      </c>
      <c r="CCC1" s="98" t="s">
        <v>295</v>
      </c>
      <c r="CCD1" s="98" t="s">
        <v>334</v>
      </c>
      <c r="CCE1" s="98" t="s">
        <v>335</v>
      </c>
      <c r="CCF1" s="98" t="s">
        <v>245</v>
      </c>
      <c r="CCG1" s="98" t="s">
        <v>246</v>
      </c>
      <c r="CCH1" s="98" t="s">
        <v>296</v>
      </c>
      <c r="CCI1" s="98" t="s">
        <v>336</v>
      </c>
      <c r="CCJ1" s="98" t="s">
        <v>337</v>
      </c>
      <c r="CCK1" s="98" t="s">
        <v>247</v>
      </c>
      <c r="CCL1" s="98" t="s">
        <v>248</v>
      </c>
      <c r="CCM1" s="98" t="s">
        <v>297</v>
      </c>
      <c r="CCN1" s="98" t="s">
        <v>338</v>
      </c>
      <c r="CCO1" s="98" t="s">
        <v>339</v>
      </c>
      <c r="CCP1" s="98" t="s">
        <v>249</v>
      </c>
      <c r="CCQ1" s="98" t="s">
        <v>250</v>
      </c>
      <c r="CCR1" s="98" t="s">
        <v>298</v>
      </c>
      <c r="CCS1" s="98" t="s">
        <v>340</v>
      </c>
      <c r="CCT1" s="98" t="s">
        <v>341</v>
      </c>
      <c r="CCU1" s="98" t="s">
        <v>251</v>
      </c>
      <c r="CCV1" s="98" t="s">
        <v>252</v>
      </c>
      <c r="CCW1" s="98" t="s">
        <v>299</v>
      </c>
      <c r="CCX1" s="98" t="s">
        <v>342</v>
      </c>
      <c r="CCY1" s="98" t="s">
        <v>343</v>
      </c>
      <c r="CCZ1" s="98" t="s">
        <v>253</v>
      </c>
      <c r="CDA1" s="98" t="s">
        <v>254</v>
      </c>
      <c r="CDB1" s="98" t="s">
        <v>300</v>
      </c>
      <c r="CDC1" s="98" t="s">
        <v>344</v>
      </c>
      <c r="CDD1" s="98" t="s">
        <v>345</v>
      </c>
      <c r="CDE1" s="98" t="s">
        <v>255</v>
      </c>
      <c r="CDF1" s="98" t="s">
        <v>256</v>
      </c>
      <c r="CDG1" s="98" t="s">
        <v>301</v>
      </c>
      <c r="CDH1" s="98" t="s">
        <v>346</v>
      </c>
      <c r="CDI1" s="98" t="s">
        <v>347</v>
      </c>
      <c r="CDJ1" s="98" t="s">
        <v>257</v>
      </c>
      <c r="CDK1" s="98" t="s">
        <v>258</v>
      </c>
      <c r="CDL1" s="98" t="s">
        <v>302</v>
      </c>
      <c r="CDM1" s="98" t="s">
        <v>348</v>
      </c>
      <c r="CDN1" s="98" t="s">
        <v>349</v>
      </c>
      <c r="CDO1" s="98" t="s">
        <v>259</v>
      </c>
      <c r="CDP1" s="98" t="s">
        <v>260</v>
      </c>
      <c r="CDQ1" s="98" t="s">
        <v>303</v>
      </c>
      <c r="CDR1" s="98" t="s">
        <v>350</v>
      </c>
      <c r="CDS1" s="98" t="s">
        <v>351</v>
      </c>
      <c r="CDT1" s="98" t="s">
        <v>261</v>
      </c>
      <c r="CDU1" s="98" t="s">
        <v>262</v>
      </c>
      <c r="CDV1" s="98" t="s">
        <v>304</v>
      </c>
      <c r="CDW1" s="98" t="s">
        <v>352</v>
      </c>
      <c r="CDX1" s="98" t="s">
        <v>353</v>
      </c>
      <c r="CDY1" s="98" t="s">
        <v>263</v>
      </c>
      <c r="CDZ1" s="98" t="s">
        <v>264</v>
      </c>
      <c r="CEA1" s="98" t="s">
        <v>305</v>
      </c>
      <c r="CEB1" s="98" t="s">
        <v>354</v>
      </c>
      <c r="CEC1" s="98" t="s">
        <v>355</v>
      </c>
      <c r="CED1" s="98" t="s">
        <v>265</v>
      </c>
      <c r="CEE1" s="98" t="s">
        <v>266</v>
      </c>
      <c r="CEF1" s="98" t="s">
        <v>306</v>
      </c>
      <c r="CEG1" s="98" t="s">
        <v>356</v>
      </c>
      <c r="CEH1" s="98" t="s">
        <v>357</v>
      </c>
      <c r="CEI1" s="98" t="s">
        <v>267</v>
      </c>
      <c r="CEJ1" s="98" t="s">
        <v>268</v>
      </c>
      <c r="CEK1" s="98" t="s">
        <v>307</v>
      </c>
      <c r="CEL1" s="98" t="s">
        <v>358</v>
      </c>
      <c r="CEM1" s="98" t="s">
        <v>359</v>
      </c>
      <c r="CEN1" s="98" t="s">
        <v>269</v>
      </c>
      <c r="CEO1" s="98" t="s">
        <v>270</v>
      </c>
      <c r="CEP1" s="98" t="s">
        <v>308</v>
      </c>
      <c r="CEQ1" s="98" t="s">
        <v>360</v>
      </c>
      <c r="CER1" s="98" t="s">
        <v>361</v>
      </c>
      <c r="CES1" s="98" t="s">
        <v>271</v>
      </c>
      <c r="CET1" s="98" t="s">
        <v>272</v>
      </c>
      <c r="CEU1" s="98" t="s">
        <v>309</v>
      </c>
      <c r="CEV1" s="98" t="s">
        <v>362</v>
      </c>
      <c r="CEW1" s="98" t="s">
        <v>363</v>
      </c>
      <c r="CEX1" s="98" t="s">
        <v>273</v>
      </c>
      <c r="CEY1" s="98" t="s">
        <v>274</v>
      </c>
      <c r="CEZ1" s="98" t="s">
        <v>310</v>
      </c>
      <c r="CFA1" s="98" t="s">
        <v>364</v>
      </c>
      <c r="CFB1" s="98" t="s">
        <v>365</v>
      </c>
      <c r="CFC1" s="98" t="s">
        <v>275</v>
      </c>
      <c r="CFD1" s="98" t="s">
        <v>276</v>
      </c>
      <c r="CFE1" s="98" t="s">
        <v>311</v>
      </c>
      <c r="CFF1" s="98" t="s">
        <v>366</v>
      </c>
      <c r="CFG1" s="98" t="s">
        <v>367</v>
      </c>
      <c r="CFH1" s="98" t="s">
        <v>277</v>
      </c>
      <c r="CFI1" s="98" t="s">
        <v>278</v>
      </c>
      <c r="CFJ1" s="98" t="s">
        <v>312</v>
      </c>
      <c r="CFK1" s="98" t="s">
        <v>368</v>
      </c>
      <c r="CFL1" s="98" t="s">
        <v>369</v>
      </c>
      <c r="CFM1" s="98" t="s">
        <v>279</v>
      </c>
      <c r="CFN1" s="98" t="s">
        <v>280</v>
      </c>
      <c r="CFO1" s="98" t="s">
        <v>313</v>
      </c>
      <c r="CFP1" s="98" t="s">
        <v>370</v>
      </c>
      <c r="CFQ1" s="98" t="s">
        <v>371</v>
      </c>
      <c r="CFR1" s="98" t="s">
        <v>281</v>
      </c>
      <c r="CFS1" s="98" t="s">
        <v>282</v>
      </c>
      <c r="CFT1" s="98" t="s">
        <v>314</v>
      </c>
      <c r="CFU1" s="98" t="s">
        <v>372</v>
      </c>
      <c r="CFV1" s="98" t="s">
        <v>373</v>
      </c>
      <c r="CFW1" s="98" t="s">
        <v>283</v>
      </c>
      <c r="CFX1" s="98" t="s">
        <v>284</v>
      </c>
      <c r="CFY1" s="98" t="s">
        <v>315</v>
      </c>
      <c r="CFZ1" s="98" t="s">
        <v>374</v>
      </c>
      <c r="CGA1" s="98" t="s">
        <v>375</v>
      </c>
      <c r="CGB1" s="98" t="s">
        <v>285</v>
      </c>
      <c r="CGC1" s="98" t="s">
        <v>286</v>
      </c>
      <c r="CGD1" s="98" t="s">
        <v>316</v>
      </c>
      <c r="CGE1" s="98" t="s">
        <v>376</v>
      </c>
      <c r="CGF1" s="98" t="s">
        <v>377</v>
      </c>
      <c r="XFB1" s="98" t="s">
        <v>58</v>
      </c>
      <c r="XFC1" s="98" t="s">
        <v>157</v>
      </c>
      <c r="XFD1" s="98" t="s">
        <v>159</v>
      </c>
    </row>
    <row r="2" spans="1:2216 16381:16384">
      <c r="A2" s="103" t="s">
        <v>426</v>
      </c>
      <c r="B2" s="103">
        <v>2</v>
      </c>
      <c r="C2" s="103">
        <v>1</v>
      </c>
      <c r="D2" s="103">
        <v>1</v>
      </c>
      <c r="E2" s="103">
        <v>14</v>
      </c>
      <c r="F2" s="103" t="s">
        <v>424</v>
      </c>
      <c r="GY2" s="109" t="s">
        <v>495</v>
      </c>
      <c r="GZ2" s="105">
        <v>1111</v>
      </c>
      <c r="HA2" s="105">
        <v>1</v>
      </c>
      <c r="HB2" s="105">
        <v>3</v>
      </c>
      <c r="HC2" s="105">
        <v>2</v>
      </c>
      <c r="HD2" s="105">
        <v>2</v>
      </c>
      <c r="HE2" s="105">
        <v>2</v>
      </c>
      <c r="HF2" s="105">
        <v>2</v>
      </c>
      <c r="HG2" s="105">
        <v>2</v>
      </c>
      <c r="HH2" s="105">
        <v>2</v>
      </c>
      <c r="HI2" s="105">
        <v>2</v>
      </c>
      <c r="HJ2" s="105">
        <v>2</v>
      </c>
      <c r="HK2" s="105">
        <v>2</v>
      </c>
      <c r="HL2" s="105">
        <v>2</v>
      </c>
      <c r="HM2" s="105">
        <v>2</v>
      </c>
      <c r="HN2" s="105">
        <v>2</v>
      </c>
      <c r="HO2" s="105">
        <v>2</v>
      </c>
      <c r="HP2" s="105">
        <v>1</v>
      </c>
      <c r="HQ2" s="105">
        <v>3</v>
      </c>
      <c r="HR2" s="105">
        <v>2</v>
      </c>
      <c r="HS2" s="105">
        <v>1</v>
      </c>
      <c r="HT2" s="105">
        <v>2</v>
      </c>
      <c r="HU2" s="105">
        <v>2</v>
      </c>
      <c r="HV2" s="105">
        <v>2</v>
      </c>
      <c r="HW2" s="105">
        <v>2</v>
      </c>
      <c r="HX2" s="105">
        <v>2</v>
      </c>
      <c r="HY2" s="105">
        <v>2</v>
      </c>
      <c r="HZ2" s="105">
        <v>2</v>
      </c>
      <c r="IA2" s="105">
        <v>2</v>
      </c>
      <c r="BXV2" s="107">
        <v>1</v>
      </c>
      <c r="BXW2" s="105" t="s">
        <v>404</v>
      </c>
      <c r="BXX2" s="105" t="s">
        <v>154</v>
      </c>
      <c r="BYA2" s="98">
        <v>0</v>
      </c>
      <c r="BYX2" s="105">
        <v>2</v>
      </c>
      <c r="BYY2" s="105">
        <v>1</v>
      </c>
      <c r="BYZ2" s="105">
        <v>1</v>
      </c>
      <c r="CAM2" s="105">
        <v>1</v>
      </c>
      <c r="CAN2" s="105">
        <v>1</v>
      </c>
      <c r="CAO2" s="105">
        <v>0.24</v>
      </c>
      <c r="CAP2" s="105">
        <v>0</v>
      </c>
      <c r="CAQ2" s="105">
        <v>0.129</v>
      </c>
      <c r="CAR2" s="105">
        <v>2</v>
      </c>
      <c r="CAS2" s="105">
        <v>2</v>
      </c>
      <c r="CAT2" s="105">
        <v>0.26</v>
      </c>
      <c r="CAU2" s="105">
        <v>0</v>
      </c>
      <c r="CAV2" s="105">
        <v>0.129</v>
      </c>
      <c r="XFA2" s="103"/>
      <c r="XFB2" s="103" t="s">
        <v>144</v>
      </c>
      <c r="XFC2" s="98">
        <v>1</v>
      </c>
      <c r="XFD2" s="98">
        <v>1</v>
      </c>
    </row>
    <row r="3" spans="1:2216 16381:16384">
      <c r="A3" s="103" t="s">
        <v>492</v>
      </c>
      <c r="B3" s="103">
        <v>10</v>
      </c>
      <c r="C3" s="103">
        <v>3</v>
      </c>
      <c r="D3" s="103">
        <v>10</v>
      </c>
      <c r="E3" s="103">
        <v>4</v>
      </c>
      <c r="F3" s="103" t="s">
        <v>424</v>
      </c>
      <c r="G3" s="103"/>
      <c r="GY3" s="106"/>
      <c r="BXV3" s="107">
        <v>1</v>
      </c>
      <c r="BYA3" s="98">
        <v>0</v>
      </c>
      <c r="BYD3" s="98">
        <v>0</v>
      </c>
      <c r="BYG3" s="98">
        <v>0</v>
      </c>
      <c r="BYX3" s="105">
        <v>2</v>
      </c>
      <c r="BYY3" s="105">
        <v>5</v>
      </c>
      <c r="BYZ3" s="105">
        <v>5</v>
      </c>
      <c r="CAM3" s="105">
        <v>1</v>
      </c>
      <c r="CAN3" s="105">
        <v>5</v>
      </c>
      <c r="CAO3" s="105">
        <v>0.09</v>
      </c>
      <c r="CAP3" s="105">
        <v>0</v>
      </c>
      <c r="CAQ3" s="105">
        <v>0.09</v>
      </c>
      <c r="CAR3" s="105">
        <v>6</v>
      </c>
      <c r="CAS3" s="105">
        <v>10</v>
      </c>
      <c r="CAT3" s="105">
        <v>0.09</v>
      </c>
      <c r="CAU3" s="105">
        <v>0</v>
      </c>
      <c r="CAV3" s="105">
        <v>0.09</v>
      </c>
      <c r="XFA3" s="103"/>
      <c r="XFB3" s="103" t="s">
        <v>158</v>
      </c>
      <c r="XFC3" s="103">
        <v>2</v>
      </c>
      <c r="XFD3" s="103">
        <v>2</v>
      </c>
    </row>
    <row r="4" spans="1:2216 16381:16384">
      <c r="A4" s="103" t="s">
        <v>423</v>
      </c>
      <c r="B4" s="103">
        <v>4</v>
      </c>
      <c r="C4" s="103">
        <v>1</v>
      </c>
      <c r="D4" s="103">
        <v>1</v>
      </c>
      <c r="E4" s="103">
        <v>16</v>
      </c>
      <c r="F4" s="103" t="s">
        <v>424</v>
      </c>
      <c r="G4" s="103"/>
      <c r="GY4" s="106" t="s">
        <v>425</v>
      </c>
      <c r="GZ4" s="105">
        <v>0.41</v>
      </c>
      <c r="HA4" s="105">
        <v>0.41199999999999998</v>
      </c>
      <c r="HB4" s="105">
        <v>0.46700000000000003</v>
      </c>
      <c r="HC4" s="105">
        <v>0.46800000000000003</v>
      </c>
      <c r="HD4" s="105">
        <v>0.47099999999999997</v>
      </c>
      <c r="HE4" s="105">
        <v>0.47299999999999998</v>
      </c>
      <c r="HF4" s="105">
        <v>0.41</v>
      </c>
      <c r="HG4" s="105">
        <v>0.40600000000000003</v>
      </c>
      <c r="HH4" s="105">
        <v>0.41599999999999998</v>
      </c>
      <c r="HI4" s="105">
        <v>0.41199999999999998</v>
      </c>
      <c r="HJ4" s="105">
        <v>0.46700000000000003</v>
      </c>
      <c r="HK4" s="105">
        <v>0.46600000000000003</v>
      </c>
      <c r="HL4" s="105">
        <v>0.46700000000000003</v>
      </c>
      <c r="HM4" s="105">
        <v>0.46400000000000002</v>
      </c>
      <c r="HN4" s="105">
        <v>0.41299999999999998</v>
      </c>
      <c r="HO4" s="105">
        <v>0.41</v>
      </c>
      <c r="HP4" s="105">
        <v>0.41499999999999998</v>
      </c>
      <c r="HQ4" s="105">
        <v>0.41499999999999998</v>
      </c>
      <c r="HR4" s="105">
        <v>0.46400000000000002</v>
      </c>
      <c r="HS4" s="105">
        <v>0.46100000000000002</v>
      </c>
      <c r="HT4" s="105">
        <v>0.46300000000000002</v>
      </c>
      <c r="HU4" s="105">
        <v>0.46100000000000002</v>
      </c>
      <c r="HV4" s="105">
        <v>0.41199999999999998</v>
      </c>
      <c r="HW4" s="105">
        <v>0.41</v>
      </c>
      <c r="HX4" s="105">
        <v>0.41399999999999998</v>
      </c>
      <c r="HY4" s="105">
        <v>0.40899999999999997</v>
      </c>
      <c r="HZ4" s="105">
        <v>0.45900000000000002</v>
      </c>
      <c r="IA4" s="105">
        <v>0.45400000000000001</v>
      </c>
      <c r="IB4" s="105">
        <v>0.45400000000000001</v>
      </c>
      <c r="IC4" s="105">
        <v>0.45200000000000001</v>
      </c>
      <c r="ID4" s="105">
        <v>0.40699999999999997</v>
      </c>
      <c r="IE4" s="105">
        <v>0.40600000000000003</v>
      </c>
      <c r="IF4" s="105">
        <v>0.40500000000000003</v>
      </c>
      <c r="IG4" s="105">
        <v>0.39</v>
      </c>
      <c r="IH4" s="105">
        <v>0.42299999999999999</v>
      </c>
      <c r="II4" s="105">
        <v>0.42699999999999999</v>
      </c>
      <c r="IJ4" s="105">
        <v>0.432</v>
      </c>
      <c r="IK4" s="105">
        <v>0.42899999999999999</v>
      </c>
      <c r="IL4" s="105">
        <v>0.38900000000000001</v>
      </c>
      <c r="IM4" s="105">
        <v>0.38900000000000001</v>
      </c>
      <c r="IN4" s="105">
        <v>0.39500000000000002</v>
      </c>
      <c r="IO4" s="105">
        <v>0.39200000000000002</v>
      </c>
      <c r="IP4" s="105">
        <v>0.42499999999999999</v>
      </c>
      <c r="IQ4" s="105">
        <v>0.42599999999999999</v>
      </c>
      <c r="IR4" s="105">
        <v>0.432</v>
      </c>
      <c r="IS4" s="105">
        <v>0.42899999999999999</v>
      </c>
      <c r="IT4" s="105">
        <v>0.39400000000000002</v>
      </c>
      <c r="IU4" s="105">
        <v>0.38600000000000001</v>
      </c>
      <c r="IV4" s="105">
        <v>0.39700000000000002</v>
      </c>
      <c r="IW4" s="105">
        <v>0.39600000000000002</v>
      </c>
      <c r="IX4" s="105">
        <v>0.42799999999999999</v>
      </c>
      <c r="IY4" s="105">
        <v>0.42599999999999999</v>
      </c>
      <c r="IZ4" s="105">
        <v>0.44</v>
      </c>
      <c r="JA4" s="105">
        <v>0.439</v>
      </c>
      <c r="JB4" s="105">
        <v>0.39900000000000002</v>
      </c>
      <c r="JC4" s="105">
        <v>0.39600000000000002</v>
      </c>
      <c r="JD4" s="105">
        <v>0.40899999999999997</v>
      </c>
      <c r="JE4" s="105">
        <v>0.40200000000000002</v>
      </c>
      <c r="JF4" s="105">
        <v>0.434</v>
      </c>
      <c r="JG4" s="105">
        <v>0.434</v>
      </c>
      <c r="JH4" s="105">
        <v>0.442</v>
      </c>
      <c r="JI4" s="105">
        <v>0.44500000000000001</v>
      </c>
      <c r="JJ4" s="105">
        <v>0.40500000000000003</v>
      </c>
      <c r="JK4" s="105">
        <v>0.39900000000000002</v>
      </c>
      <c r="BXV4" s="107">
        <v>1</v>
      </c>
      <c r="BXW4" s="105" t="s">
        <v>404</v>
      </c>
      <c r="BXX4" s="105" t="s">
        <v>154</v>
      </c>
      <c r="BYA4" s="98">
        <v>0</v>
      </c>
      <c r="BYX4" s="105">
        <v>1</v>
      </c>
      <c r="BYY4" s="105">
        <v>4</v>
      </c>
      <c r="CAM4" s="105">
        <v>1</v>
      </c>
      <c r="CAN4" s="105">
        <v>4</v>
      </c>
      <c r="CAO4" s="105">
        <v>0.11</v>
      </c>
      <c r="CAP4" s="105">
        <v>0</v>
      </c>
      <c r="CAQ4" s="105">
        <v>8.8999999999999996E-2</v>
      </c>
      <c r="XFA4" s="103"/>
      <c r="XFB4" s="103"/>
      <c r="XFC4" s="103">
        <v>3</v>
      </c>
      <c r="XFD4" s="103">
        <v>3</v>
      </c>
    </row>
    <row r="5" spans="1:2216 16381:16384">
      <c r="A5" s="103" t="s">
        <v>427</v>
      </c>
      <c r="B5" s="103">
        <v>3</v>
      </c>
      <c r="C5" s="103">
        <v>1</v>
      </c>
      <c r="D5" s="103">
        <v>1</v>
      </c>
      <c r="E5" s="103">
        <v>24</v>
      </c>
      <c r="F5" s="103" t="s">
        <v>424</v>
      </c>
      <c r="GY5" s="106" t="s">
        <v>428</v>
      </c>
      <c r="GZ5" s="105">
        <v>0.26700000000000002</v>
      </c>
      <c r="HA5" s="105">
        <v>0.26900000000000002</v>
      </c>
      <c r="HB5" s="105">
        <v>0.22800000000000001</v>
      </c>
      <c r="HC5" s="105">
        <v>0.25800000000000001</v>
      </c>
      <c r="HD5" s="105">
        <v>0.25700000000000001</v>
      </c>
      <c r="HE5" s="105">
        <v>0.23799999999999999</v>
      </c>
      <c r="HF5" s="105">
        <v>0.249</v>
      </c>
      <c r="HG5" s="105">
        <v>0.249</v>
      </c>
      <c r="HH5" s="105">
        <v>0.20699999999999999</v>
      </c>
      <c r="HI5" s="105">
        <v>0.23699999999999999</v>
      </c>
      <c r="HJ5" s="105">
        <v>0.22500000000000001</v>
      </c>
      <c r="HK5" s="105">
        <v>0.19800000000000001</v>
      </c>
      <c r="HL5" s="105">
        <v>0.16</v>
      </c>
      <c r="HM5" s="105">
        <v>0.222</v>
      </c>
      <c r="HN5" s="105">
        <v>0.187</v>
      </c>
      <c r="HO5" s="105">
        <v>0.22</v>
      </c>
      <c r="HP5" s="105">
        <v>0.214</v>
      </c>
      <c r="HQ5" s="105">
        <v>0.17699999999999999</v>
      </c>
      <c r="HR5" s="105">
        <v>0.2</v>
      </c>
      <c r="HS5" s="105">
        <v>0.2</v>
      </c>
      <c r="HT5" s="105">
        <v>0.13</v>
      </c>
      <c r="HU5" s="105">
        <v>0.189</v>
      </c>
      <c r="HV5" s="105">
        <v>0.183</v>
      </c>
      <c r="HW5" s="105">
        <v>0.152</v>
      </c>
      <c r="HX5" s="105">
        <v>0.17799999999999999</v>
      </c>
      <c r="HY5" s="105">
        <v>0.17699999999999999</v>
      </c>
      <c r="HZ5" s="105">
        <v>0.14299999999999999</v>
      </c>
      <c r="IA5" s="105">
        <v>0.16700000000000001</v>
      </c>
      <c r="IB5" s="105">
        <v>0.16300000000000001</v>
      </c>
      <c r="IC5" s="105">
        <v>9.0999999999999998E-2</v>
      </c>
      <c r="ID5" s="105">
        <v>8.5999999999999993E-2</v>
      </c>
      <c r="IE5" s="105">
        <v>0.14799999999999999</v>
      </c>
      <c r="IF5" s="105">
        <v>0.115</v>
      </c>
      <c r="IG5" s="105">
        <v>0.14299999999999999</v>
      </c>
      <c r="IH5" s="105">
        <v>0.13900000000000001</v>
      </c>
      <c r="II5" s="105">
        <v>0.104</v>
      </c>
      <c r="IJ5" s="105">
        <v>0.27100000000000002</v>
      </c>
      <c r="IK5" s="105">
        <v>0.25800000000000001</v>
      </c>
      <c r="IL5" s="105">
        <v>0.223</v>
      </c>
      <c r="IM5" s="105">
        <v>0.26</v>
      </c>
      <c r="IN5" s="105">
        <v>0.252</v>
      </c>
      <c r="IO5" s="105">
        <v>0.215</v>
      </c>
      <c r="IP5" s="105">
        <v>0.252</v>
      </c>
      <c r="IQ5" s="105">
        <v>0.247</v>
      </c>
      <c r="IR5" s="105">
        <v>0.20899999999999999</v>
      </c>
      <c r="IS5" s="105">
        <v>0.24299999999999999</v>
      </c>
      <c r="IT5" s="105">
        <v>0.23599999999999999</v>
      </c>
      <c r="IU5" s="105">
        <v>0.2</v>
      </c>
      <c r="IV5" s="105">
        <v>0.23599999999999999</v>
      </c>
      <c r="IW5" s="105">
        <v>0.23100000000000001</v>
      </c>
      <c r="IX5" s="105">
        <v>0.19500000000000001</v>
      </c>
      <c r="IY5" s="105">
        <v>0.22800000000000001</v>
      </c>
      <c r="IZ5" s="105">
        <v>0.23400000000000001</v>
      </c>
      <c r="JA5" s="105">
        <v>0.19700000000000001</v>
      </c>
      <c r="JB5" s="105">
        <v>0.224</v>
      </c>
      <c r="JC5" s="105">
        <v>0.22600000000000001</v>
      </c>
      <c r="JD5" s="105">
        <v>0.188</v>
      </c>
      <c r="JE5" s="105">
        <v>0.218</v>
      </c>
      <c r="JF5" s="105">
        <v>0.218</v>
      </c>
      <c r="JG5" s="105">
        <v>0.18099999999999999</v>
      </c>
      <c r="JH5" s="105">
        <v>0.21099999999999999</v>
      </c>
      <c r="JI5" s="105">
        <v>0.21199999999999999</v>
      </c>
      <c r="JJ5" s="105">
        <v>0.17199999999999999</v>
      </c>
      <c r="JK5" s="105">
        <v>0.21099999999999999</v>
      </c>
      <c r="JL5" s="105">
        <v>0.20599999999999999</v>
      </c>
      <c r="JM5" s="105">
        <v>0.155</v>
      </c>
      <c r="JN5" s="105">
        <v>0.193</v>
      </c>
      <c r="JO5" s="105">
        <v>0.19900000000000001</v>
      </c>
      <c r="JP5" s="105">
        <v>0.16</v>
      </c>
      <c r="JQ5" s="105">
        <v>0.193</v>
      </c>
      <c r="JR5" s="105">
        <v>0.184</v>
      </c>
      <c r="JS5" s="105">
        <v>0.14399999999999999</v>
      </c>
      <c r="BXV5" s="107">
        <v>1</v>
      </c>
      <c r="BXW5" s="105" t="s">
        <v>404</v>
      </c>
      <c r="BXX5" s="105" t="s">
        <v>154</v>
      </c>
      <c r="BYA5" s="98">
        <v>0</v>
      </c>
      <c r="BYX5" s="105">
        <v>2</v>
      </c>
      <c r="BYY5" s="105">
        <v>2</v>
      </c>
      <c r="BYZ5" s="105">
        <v>1</v>
      </c>
      <c r="CAM5" s="105">
        <v>1</v>
      </c>
      <c r="CAN5" s="105">
        <v>2</v>
      </c>
      <c r="CAO5" s="105">
        <v>0.12</v>
      </c>
      <c r="CAP5" s="105">
        <v>0.01</v>
      </c>
      <c r="CAQ5" s="105">
        <v>8.8999999999999996E-2</v>
      </c>
      <c r="CAR5" s="105">
        <v>3</v>
      </c>
      <c r="CAS5" s="105">
        <v>3</v>
      </c>
      <c r="CAT5" s="105">
        <v>0.12</v>
      </c>
      <c r="CAU5" s="105">
        <v>0.01</v>
      </c>
      <c r="CAV5" s="105">
        <v>8.8999999999999996E-2</v>
      </c>
      <c r="XFA5" s="103"/>
      <c r="XFB5" s="103"/>
      <c r="XFC5" s="103">
        <v>4</v>
      </c>
      <c r="XFD5" s="103">
        <v>4</v>
      </c>
    </row>
    <row r="6" spans="1:2216 16381:16384">
      <c r="A6" s="103" t="s">
        <v>429</v>
      </c>
      <c r="B6" s="103">
        <v>2</v>
      </c>
      <c r="C6" s="103">
        <v>2</v>
      </c>
      <c r="D6" s="103">
        <v>1</v>
      </c>
      <c r="E6" s="103">
        <v>12</v>
      </c>
      <c r="F6" s="103" t="s">
        <v>424</v>
      </c>
      <c r="GY6" s="106" t="s">
        <v>430</v>
      </c>
      <c r="GZ6" s="105">
        <v>0.377</v>
      </c>
      <c r="HA6" s="105">
        <v>0.45</v>
      </c>
      <c r="HB6" s="105">
        <v>0.439</v>
      </c>
      <c r="HC6" s="105">
        <v>0.379</v>
      </c>
      <c r="HD6" s="105">
        <v>0.375</v>
      </c>
      <c r="HE6" s="105">
        <v>0.42699999999999999</v>
      </c>
      <c r="HF6" s="105">
        <v>0.41599999999999998</v>
      </c>
      <c r="HG6" s="105">
        <v>0.36699999999999999</v>
      </c>
      <c r="HH6" s="105">
        <v>0.37</v>
      </c>
      <c r="HI6" s="105">
        <v>0.40500000000000003</v>
      </c>
      <c r="HJ6" s="105">
        <v>0.39</v>
      </c>
      <c r="HK6" s="105">
        <v>0.36099999999999999</v>
      </c>
      <c r="HL6" s="105">
        <v>0.377</v>
      </c>
      <c r="HM6" s="105">
        <v>0.4</v>
      </c>
      <c r="HN6" s="105">
        <v>0.39200000000000002</v>
      </c>
      <c r="HO6" s="105">
        <v>0.375</v>
      </c>
      <c r="HP6" s="105">
        <v>0.39200000000000002</v>
      </c>
      <c r="HQ6" s="105">
        <v>0.39100000000000001</v>
      </c>
      <c r="HR6" s="105">
        <v>0.40100000000000002</v>
      </c>
      <c r="HS6" s="105">
        <v>0.38700000000000001</v>
      </c>
      <c r="HT6" s="105">
        <v>0.40600000000000003</v>
      </c>
      <c r="HU6" s="105">
        <v>0.39600000000000002</v>
      </c>
      <c r="HV6" s="105">
        <v>0.39300000000000002</v>
      </c>
      <c r="HW6" s="105">
        <v>0.40300000000000002</v>
      </c>
      <c r="BXV6" s="107">
        <v>1</v>
      </c>
      <c r="BXW6" s="105" t="s">
        <v>404</v>
      </c>
      <c r="BXX6" s="105" t="s">
        <v>154</v>
      </c>
      <c r="BYA6" s="98">
        <v>0</v>
      </c>
      <c r="BYD6" s="98">
        <v>0</v>
      </c>
      <c r="BYX6" s="105">
        <v>1</v>
      </c>
      <c r="BYY6" s="105">
        <v>2</v>
      </c>
      <c r="CAM6" s="105">
        <v>1</v>
      </c>
      <c r="CAN6" s="105">
        <v>2</v>
      </c>
      <c r="CAO6" s="105">
        <v>0.12</v>
      </c>
      <c r="CAP6" s="105">
        <v>0.01</v>
      </c>
      <c r="CAQ6" s="105">
        <v>8.8999999999999996E-2</v>
      </c>
      <c r="XFA6" s="103"/>
      <c r="XFB6" s="103"/>
      <c r="XFC6" s="103">
        <v>5</v>
      </c>
      <c r="XFD6" s="103">
        <v>5</v>
      </c>
    </row>
    <row r="7" spans="1:2216 16381:16384">
      <c r="A7" s="103" t="s">
        <v>431</v>
      </c>
      <c r="B7" s="103">
        <v>4</v>
      </c>
      <c r="C7" s="103">
        <v>1</v>
      </c>
      <c r="D7" s="103">
        <v>1</v>
      </c>
      <c r="E7" s="103">
        <v>10</v>
      </c>
      <c r="F7" s="103" t="s">
        <v>424</v>
      </c>
      <c r="GY7" s="106" t="s">
        <v>430</v>
      </c>
      <c r="GZ7" s="105">
        <v>0.41499999999999998</v>
      </c>
      <c r="HA7" s="105">
        <v>0.41099999999999998</v>
      </c>
      <c r="HB7" s="105">
        <v>0.47199999999999998</v>
      </c>
      <c r="HC7" s="105">
        <v>0.47299999999999998</v>
      </c>
      <c r="HD7" s="105">
        <v>0.439</v>
      </c>
      <c r="HE7" s="105">
        <v>0.436</v>
      </c>
      <c r="HF7" s="105">
        <v>0.498</v>
      </c>
      <c r="HG7" s="105">
        <v>0.495</v>
      </c>
      <c r="HH7" s="105">
        <v>0.46200000000000002</v>
      </c>
      <c r="HI7" s="105">
        <v>0.45900000000000002</v>
      </c>
      <c r="HJ7" s="105">
        <v>0.51600000000000001</v>
      </c>
      <c r="HK7" s="105">
        <v>0.51400000000000001</v>
      </c>
      <c r="HL7" s="105">
        <v>0.47899999999999998</v>
      </c>
      <c r="HM7" s="105">
        <v>0.47799999999999998</v>
      </c>
      <c r="HN7" s="105">
        <v>0.52800000000000002</v>
      </c>
      <c r="HO7" s="105">
        <v>0.52900000000000003</v>
      </c>
      <c r="HP7" s="105">
        <v>0.49299999999999999</v>
      </c>
      <c r="HQ7" s="105">
        <v>0.495</v>
      </c>
      <c r="HR7" s="105">
        <v>0.54</v>
      </c>
      <c r="HS7" s="105">
        <v>0.54100000000000004</v>
      </c>
      <c r="HT7" s="105">
        <v>0.41</v>
      </c>
      <c r="HU7" s="105">
        <v>0.41099999999999998</v>
      </c>
      <c r="HV7" s="105">
        <v>0.44600000000000001</v>
      </c>
      <c r="HW7" s="105">
        <v>0.44800000000000001</v>
      </c>
      <c r="HX7" s="105">
        <v>0.42899999999999999</v>
      </c>
      <c r="HY7" s="105">
        <v>0.42299999999999999</v>
      </c>
      <c r="HZ7" s="105">
        <v>0.47299999999999998</v>
      </c>
      <c r="IA7" s="105">
        <v>0.47</v>
      </c>
      <c r="IB7" s="105">
        <v>0.45900000000000002</v>
      </c>
      <c r="IC7" s="105">
        <v>0.45900000000000002</v>
      </c>
      <c r="ID7" s="105">
        <v>0.503</v>
      </c>
      <c r="IE7" s="105">
        <v>0.503</v>
      </c>
      <c r="IF7" s="105">
        <v>0.48799999999999999</v>
      </c>
      <c r="IG7" s="105">
        <v>0.48299999999999998</v>
      </c>
      <c r="IH7" s="105">
        <v>0.52700000000000002</v>
      </c>
      <c r="II7" s="105">
        <v>0.52300000000000002</v>
      </c>
      <c r="IJ7" s="105">
        <v>0.51700000000000002</v>
      </c>
      <c r="IK7" s="105">
        <v>0.51500000000000001</v>
      </c>
      <c r="IL7" s="105">
        <v>0.55100000000000005</v>
      </c>
      <c r="IM7" s="105">
        <v>0.54600000000000004</v>
      </c>
      <c r="BXV7" s="107">
        <v>1</v>
      </c>
      <c r="BXW7" s="105" t="s">
        <v>404</v>
      </c>
      <c r="BXX7" s="105" t="s">
        <v>154</v>
      </c>
      <c r="BYA7" s="98">
        <v>0</v>
      </c>
      <c r="BYX7" s="105">
        <v>1</v>
      </c>
      <c r="BYY7" s="105">
        <v>4</v>
      </c>
      <c r="CAM7" s="105">
        <v>1</v>
      </c>
      <c r="CAN7" s="105">
        <v>4</v>
      </c>
      <c r="CAO7" s="105">
        <v>0.125</v>
      </c>
      <c r="CAP7" s="105">
        <v>0</v>
      </c>
      <c r="CAQ7" s="105">
        <v>8.8999999999999996E-2</v>
      </c>
      <c r="XFA7" s="103"/>
      <c r="XFB7" s="103"/>
      <c r="XFC7" s="103">
        <v>6</v>
      </c>
      <c r="XFD7" s="103">
        <v>6</v>
      </c>
    </row>
    <row r="8" spans="1:2216 16381:16384">
      <c r="A8" s="103" t="s">
        <v>432</v>
      </c>
      <c r="B8" s="103">
        <v>4</v>
      </c>
      <c r="C8" s="103">
        <v>1</v>
      </c>
      <c r="D8" s="103">
        <v>1</v>
      </c>
      <c r="E8" s="103">
        <v>20</v>
      </c>
      <c r="F8" s="103" t="s">
        <v>424</v>
      </c>
      <c r="GY8" s="106" t="s">
        <v>433</v>
      </c>
      <c r="GZ8" s="105">
        <v>0.215</v>
      </c>
      <c r="HA8" s="105">
        <v>0.23</v>
      </c>
      <c r="HB8" s="105">
        <v>0.19700000000000001</v>
      </c>
      <c r="HC8" s="105">
        <v>0.193</v>
      </c>
      <c r="HD8" s="105">
        <v>0.20799999999999999</v>
      </c>
      <c r="HE8" s="105">
        <v>0.21</v>
      </c>
      <c r="HF8" s="105">
        <v>0.18099999999999999</v>
      </c>
      <c r="HG8" s="105">
        <v>0.17699999999999999</v>
      </c>
      <c r="HH8" s="105">
        <v>0.19800000000000001</v>
      </c>
      <c r="HI8" s="105">
        <v>0.19700000000000001</v>
      </c>
      <c r="HJ8" s="105">
        <v>0.17299999999999999</v>
      </c>
      <c r="HK8" s="105">
        <v>0.17199999999999999</v>
      </c>
      <c r="HL8" s="105">
        <v>0.19500000000000001</v>
      </c>
      <c r="HM8" s="105">
        <v>0.19500000000000001</v>
      </c>
      <c r="HN8" s="105">
        <v>0.17100000000000001</v>
      </c>
      <c r="HO8" s="105">
        <v>0.17100000000000001</v>
      </c>
      <c r="HP8" s="105">
        <v>0.19600000000000001</v>
      </c>
      <c r="HQ8" s="105">
        <v>0.19500000000000001</v>
      </c>
      <c r="HR8" s="105">
        <v>0.17</v>
      </c>
      <c r="HS8" s="105">
        <v>0.17</v>
      </c>
      <c r="HT8" s="105">
        <v>0.19700000000000001</v>
      </c>
      <c r="HU8" s="105">
        <v>0.19600000000000001</v>
      </c>
      <c r="HV8" s="105">
        <v>0.16800000000000001</v>
      </c>
      <c r="HW8" s="105">
        <v>0.16800000000000001</v>
      </c>
      <c r="HX8" s="105">
        <v>0.19800000000000001</v>
      </c>
      <c r="HY8" s="105">
        <v>0.19700000000000001</v>
      </c>
      <c r="HZ8" s="105">
        <v>0.16800000000000001</v>
      </c>
      <c r="IA8" s="105">
        <v>0.16700000000000001</v>
      </c>
      <c r="IB8" s="105">
        <v>0.19600000000000001</v>
      </c>
      <c r="IC8" s="105">
        <v>0.19800000000000001</v>
      </c>
      <c r="ID8" s="105">
        <v>0.16400000000000001</v>
      </c>
      <c r="IE8" s="105">
        <v>0.16500000000000001</v>
      </c>
      <c r="IF8" s="105">
        <v>0.19900000000000001</v>
      </c>
      <c r="IG8" s="105">
        <v>0.19800000000000001</v>
      </c>
      <c r="IH8" s="105">
        <v>0.16700000000000001</v>
      </c>
      <c r="II8" s="105">
        <v>0.16600000000000001</v>
      </c>
      <c r="IJ8" s="105">
        <v>0.20200000000000001</v>
      </c>
      <c r="IK8" s="105">
        <v>0.2</v>
      </c>
      <c r="IL8" s="105">
        <v>0.16800000000000001</v>
      </c>
      <c r="IM8" s="105">
        <v>0.17</v>
      </c>
      <c r="IN8" s="105">
        <v>0.214</v>
      </c>
      <c r="IO8" s="105">
        <v>0.214</v>
      </c>
      <c r="IP8" s="105">
        <v>0.17599999999999999</v>
      </c>
      <c r="IQ8" s="105">
        <v>0.17699999999999999</v>
      </c>
      <c r="IR8" s="105">
        <v>0.20599999999999999</v>
      </c>
      <c r="IS8" s="105">
        <v>0.20799999999999999</v>
      </c>
      <c r="IT8" s="105">
        <v>0.17799999999999999</v>
      </c>
      <c r="IU8" s="105">
        <v>0.16900000000000001</v>
      </c>
      <c r="IV8" s="105">
        <v>0.21</v>
      </c>
      <c r="IW8" s="105">
        <v>0.21</v>
      </c>
      <c r="IX8" s="105">
        <v>0.184</v>
      </c>
      <c r="IY8" s="105">
        <v>0.18</v>
      </c>
      <c r="IZ8" s="105">
        <v>0.224</v>
      </c>
      <c r="JA8" s="105">
        <v>0.215</v>
      </c>
      <c r="JB8" s="105">
        <v>0.191</v>
      </c>
      <c r="JC8" s="105">
        <v>0.19800000000000001</v>
      </c>
      <c r="JD8" s="105">
        <v>0.245</v>
      </c>
      <c r="JE8" s="105">
        <v>0.23899999999999999</v>
      </c>
      <c r="JF8" s="105">
        <v>0.21199999999999999</v>
      </c>
      <c r="JG8" s="105">
        <v>0.216</v>
      </c>
      <c r="JH8" s="105">
        <v>0.26400000000000001</v>
      </c>
      <c r="JI8" s="105">
        <v>0.255</v>
      </c>
      <c r="JJ8" s="105">
        <v>0.22900000000000001</v>
      </c>
      <c r="JK8" s="105">
        <v>0.23699999999999999</v>
      </c>
      <c r="JL8" s="105">
        <v>0.28299999999999997</v>
      </c>
      <c r="JM8" s="105">
        <v>0.27300000000000002</v>
      </c>
      <c r="JN8" s="105">
        <v>0.248</v>
      </c>
      <c r="JO8" s="105">
        <v>0.25600000000000001</v>
      </c>
      <c r="JP8" s="105">
        <v>0.29499999999999998</v>
      </c>
      <c r="JQ8" s="105">
        <v>0.29499999999999998</v>
      </c>
      <c r="JR8" s="105">
        <v>0.27100000000000002</v>
      </c>
      <c r="JS8" s="105">
        <v>0.26900000000000002</v>
      </c>
      <c r="JT8" s="105">
        <v>0.311</v>
      </c>
      <c r="JU8" s="105">
        <v>0.31</v>
      </c>
      <c r="JV8" s="105">
        <v>0.28699999999999998</v>
      </c>
      <c r="JW8" s="105">
        <v>0.28499999999999998</v>
      </c>
      <c r="JX8" s="105">
        <v>0.32400000000000001</v>
      </c>
      <c r="JY8" s="105">
        <v>0.32200000000000001</v>
      </c>
      <c r="JZ8" s="105">
        <v>0.30099999999999999</v>
      </c>
      <c r="KA8" s="105">
        <v>0.30499999999999999</v>
      </c>
      <c r="BXV8" s="107">
        <v>1</v>
      </c>
      <c r="BXW8" s="105" t="s">
        <v>404</v>
      </c>
      <c r="BXX8" s="105" t="s">
        <v>154</v>
      </c>
      <c r="BYA8" s="98">
        <v>0</v>
      </c>
      <c r="BYX8" s="105">
        <v>2</v>
      </c>
      <c r="BYY8" s="105">
        <v>2</v>
      </c>
      <c r="BYZ8" s="105">
        <v>2</v>
      </c>
      <c r="CAM8" s="105">
        <v>1</v>
      </c>
      <c r="CAN8" s="105">
        <v>2</v>
      </c>
      <c r="CAO8" s="105">
        <v>0.115</v>
      </c>
      <c r="CAP8" s="105">
        <v>0.01</v>
      </c>
      <c r="CAQ8" s="105">
        <v>8.8999999999999996E-2</v>
      </c>
      <c r="CAR8" s="105">
        <v>3</v>
      </c>
      <c r="CAS8" s="105">
        <v>4</v>
      </c>
      <c r="CAT8" s="105">
        <v>0.115</v>
      </c>
      <c r="CAU8" s="105">
        <v>0.01</v>
      </c>
      <c r="CAV8" s="105">
        <v>8.8999999999999996E-2</v>
      </c>
      <c r="XFA8" s="103"/>
      <c r="XFB8" s="103"/>
      <c r="XFC8" s="103">
        <v>7</v>
      </c>
      <c r="XFD8" s="103">
        <v>7</v>
      </c>
    </row>
    <row r="9" spans="1:2216 16381:16384">
      <c r="A9" s="103" t="s">
        <v>434</v>
      </c>
      <c r="B9" s="103">
        <v>2</v>
      </c>
      <c r="C9" s="103">
        <v>2</v>
      </c>
      <c r="D9" s="103">
        <v>2</v>
      </c>
      <c r="E9" s="103">
        <v>24</v>
      </c>
      <c r="F9" s="103" t="s">
        <v>424</v>
      </c>
      <c r="GY9" s="106" t="s">
        <v>435</v>
      </c>
      <c r="GZ9" s="105">
        <v>0.65700000000000003</v>
      </c>
      <c r="HA9" s="105">
        <v>0.65400000000000003</v>
      </c>
      <c r="HB9" s="105">
        <v>0.65500000000000003</v>
      </c>
      <c r="HC9" s="105">
        <v>0.65300000000000002</v>
      </c>
      <c r="HD9" s="105">
        <v>0.65</v>
      </c>
      <c r="HE9" s="105">
        <v>0.64100000000000001</v>
      </c>
      <c r="HF9" s="105">
        <v>0.63900000000000001</v>
      </c>
      <c r="HG9" s="105">
        <v>0.628</v>
      </c>
      <c r="HH9" s="105">
        <v>0.625</v>
      </c>
      <c r="HI9" s="105">
        <v>0.62</v>
      </c>
      <c r="HJ9" s="105">
        <v>0.621</v>
      </c>
      <c r="HK9" s="105">
        <v>0.60599999999999998</v>
      </c>
      <c r="HL9" s="105">
        <v>0.59599999999999997</v>
      </c>
      <c r="HM9" s="105">
        <v>0.59799999999999998</v>
      </c>
      <c r="HN9" s="105">
        <v>0.59</v>
      </c>
      <c r="HO9" s="105">
        <v>0.56100000000000005</v>
      </c>
      <c r="HP9" s="105">
        <v>0.65800000000000003</v>
      </c>
      <c r="HQ9" s="105">
        <v>0.65500000000000003</v>
      </c>
      <c r="HR9" s="105">
        <v>0.65300000000000002</v>
      </c>
      <c r="HS9" s="105">
        <v>0.65200000000000002</v>
      </c>
      <c r="HT9" s="105">
        <v>0.64800000000000002</v>
      </c>
      <c r="HU9" s="105">
        <v>0.63800000000000001</v>
      </c>
      <c r="HV9" s="105">
        <v>0.63600000000000001</v>
      </c>
      <c r="HW9" s="105">
        <v>0.624</v>
      </c>
      <c r="HX9" s="105">
        <v>0.60699999999999998</v>
      </c>
      <c r="HY9" s="105">
        <v>0.59799999999999998</v>
      </c>
      <c r="HZ9" s="105">
        <v>0.59299999999999997</v>
      </c>
      <c r="IA9" s="105">
        <v>0.59099999999999997</v>
      </c>
      <c r="IB9" s="105">
        <v>0.58599999999999997</v>
      </c>
      <c r="IC9" s="105">
        <v>0.57299999999999995</v>
      </c>
      <c r="ID9" s="105">
        <v>0.56799999999999995</v>
      </c>
      <c r="IE9" s="105">
        <v>0.55800000000000005</v>
      </c>
      <c r="IF9" s="105">
        <v>0.55300000000000005</v>
      </c>
      <c r="IG9" s="105">
        <v>0.55200000000000005</v>
      </c>
      <c r="IH9" s="105">
        <v>0.55100000000000005</v>
      </c>
      <c r="II9" s="105">
        <v>0.53900000000000003</v>
      </c>
      <c r="IJ9" s="105">
        <v>0.53100000000000003</v>
      </c>
      <c r="IK9" s="105">
        <v>0.53500000000000003</v>
      </c>
      <c r="IL9" s="105">
        <v>0.52600000000000002</v>
      </c>
      <c r="IM9" s="105">
        <v>0.498</v>
      </c>
      <c r="IN9" s="105">
        <v>0.59699999999999998</v>
      </c>
      <c r="IO9" s="105">
        <v>0.59199999999999997</v>
      </c>
      <c r="IP9" s="105">
        <v>0.59</v>
      </c>
      <c r="IQ9" s="105">
        <v>0.58899999999999997</v>
      </c>
      <c r="IR9" s="105">
        <v>0.58499999999999996</v>
      </c>
      <c r="IS9" s="105">
        <v>0.56899999999999995</v>
      </c>
      <c r="IT9" s="105">
        <v>0.56799999999999995</v>
      </c>
      <c r="IU9" s="105">
        <v>0.55600000000000005</v>
      </c>
      <c r="IV9" s="105">
        <v>0.62</v>
      </c>
      <c r="IW9" s="105">
        <v>0.61799999999999999</v>
      </c>
      <c r="IX9" s="105">
        <v>0.61699999999999999</v>
      </c>
      <c r="IY9" s="105">
        <v>0.60299999999999998</v>
      </c>
      <c r="IZ9" s="105">
        <v>0.59099999999999997</v>
      </c>
      <c r="JA9" s="105">
        <v>0.59399999999999997</v>
      </c>
      <c r="JB9" s="105">
        <v>0.58899999999999997</v>
      </c>
      <c r="JC9" s="105">
        <v>0.56299999999999994</v>
      </c>
      <c r="JD9" s="105">
        <v>0.65200000000000002</v>
      </c>
      <c r="JE9" s="105">
        <v>0.64700000000000002</v>
      </c>
      <c r="JF9" s="105">
        <v>0.64700000000000002</v>
      </c>
      <c r="JG9" s="105">
        <v>0.64600000000000002</v>
      </c>
      <c r="JH9" s="105">
        <v>0.64100000000000001</v>
      </c>
      <c r="JI9" s="105">
        <v>0.629</v>
      </c>
      <c r="JJ9" s="105">
        <v>0.627</v>
      </c>
      <c r="JK9" s="105">
        <v>0.61899999999999999</v>
      </c>
      <c r="JL9" s="105">
        <v>0.61299999999999999</v>
      </c>
      <c r="JM9" s="105">
        <v>0.61099999999999999</v>
      </c>
      <c r="JN9" s="105">
        <v>0.60899999999999999</v>
      </c>
      <c r="JO9" s="105">
        <v>0.6</v>
      </c>
      <c r="JP9" s="105">
        <v>0.58699999999999997</v>
      </c>
      <c r="JQ9" s="105">
        <v>0.59</v>
      </c>
      <c r="JR9" s="105">
        <v>0.58499999999999996</v>
      </c>
      <c r="JS9" s="105">
        <v>0.55900000000000005</v>
      </c>
      <c r="JT9" s="105">
        <v>0.55100000000000005</v>
      </c>
      <c r="JU9" s="105">
        <v>0.55100000000000005</v>
      </c>
      <c r="JV9" s="105">
        <v>0.55200000000000005</v>
      </c>
      <c r="JW9" s="105">
        <v>0.54200000000000004</v>
      </c>
      <c r="JX9" s="105">
        <v>0.53400000000000003</v>
      </c>
      <c r="JY9" s="105">
        <v>0.53600000000000003</v>
      </c>
      <c r="JZ9" s="105">
        <v>0.53300000000000003</v>
      </c>
      <c r="KA9" s="105">
        <v>0.50800000000000001</v>
      </c>
      <c r="KB9" s="105">
        <v>0.59</v>
      </c>
      <c r="KC9" s="105">
        <v>0.58099999999999996</v>
      </c>
      <c r="KD9" s="105">
        <v>0.57999999999999996</v>
      </c>
      <c r="KE9" s="105">
        <v>0.57899999999999996</v>
      </c>
      <c r="KF9" s="105">
        <v>0.57199999999999995</v>
      </c>
      <c r="KG9" s="105">
        <v>0.55900000000000005</v>
      </c>
      <c r="KH9" s="105">
        <v>0.56000000000000005</v>
      </c>
      <c r="KI9" s="105">
        <v>0.54600000000000004</v>
      </c>
      <c r="KJ9" s="105">
        <v>0.54</v>
      </c>
      <c r="KK9" s="105">
        <v>0.54200000000000004</v>
      </c>
      <c r="KL9" s="105">
        <v>0.54100000000000004</v>
      </c>
      <c r="KM9" s="105">
        <v>0.53500000000000003</v>
      </c>
      <c r="KN9" s="105">
        <v>0.52400000000000002</v>
      </c>
      <c r="KO9" s="105">
        <v>0.52800000000000002</v>
      </c>
      <c r="KP9" s="105">
        <v>0.52400000000000002</v>
      </c>
      <c r="KQ9" s="105">
        <v>0.503</v>
      </c>
      <c r="BXV9" s="107">
        <v>1</v>
      </c>
      <c r="BXW9" s="105" t="s">
        <v>404</v>
      </c>
      <c r="BXX9" s="105" t="s">
        <v>154</v>
      </c>
      <c r="BYA9" s="98">
        <v>0</v>
      </c>
      <c r="BYD9" s="98">
        <v>0</v>
      </c>
      <c r="BYX9" s="105">
        <v>1</v>
      </c>
      <c r="BYY9" s="105">
        <v>2</v>
      </c>
      <c r="CAM9" s="105">
        <v>1</v>
      </c>
      <c r="CAN9" s="105">
        <v>2</v>
      </c>
      <c r="CAO9" s="105">
        <v>0.126</v>
      </c>
      <c r="CAP9" s="105">
        <v>0.01</v>
      </c>
      <c r="CAQ9" s="105">
        <v>0.14899999999999999</v>
      </c>
      <c r="XFA9" s="103"/>
      <c r="XFB9" s="103"/>
      <c r="XFC9" s="103">
        <v>8.1</v>
      </c>
      <c r="XFD9" s="103"/>
    </row>
    <row r="10" spans="1:2216 16381:16384">
      <c r="A10" s="103" t="s">
        <v>436</v>
      </c>
      <c r="B10" s="103">
        <v>4</v>
      </c>
      <c r="C10" s="103">
        <v>1</v>
      </c>
      <c r="D10" s="103">
        <v>1</v>
      </c>
      <c r="E10" s="103">
        <v>20</v>
      </c>
      <c r="F10" s="103" t="s">
        <v>424</v>
      </c>
      <c r="GY10" s="106" t="s">
        <v>437</v>
      </c>
      <c r="GZ10" s="105">
        <v>0.27500000000000002</v>
      </c>
      <c r="HA10" s="105">
        <v>0.27500000000000002</v>
      </c>
      <c r="HB10" s="105">
        <v>0.22700000000000001</v>
      </c>
      <c r="HC10" s="105">
        <v>0.22600000000000001</v>
      </c>
      <c r="HD10" s="105">
        <v>0.27500000000000002</v>
      </c>
      <c r="HE10" s="105">
        <v>0.27500000000000002</v>
      </c>
      <c r="HF10" s="105">
        <v>0.22600000000000001</v>
      </c>
      <c r="HG10" s="105">
        <v>0.22700000000000001</v>
      </c>
      <c r="HH10" s="105">
        <v>0.27800000000000002</v>
      </c>
      <c r="HI10" s="105">
        <v>0.27800000000000002</v>
      </c>
      <c r="HJ10" s="105">
        <v>0.23</v>
      </c>
      <c r="HK10" s="105">
        <v>0.22600000000000001</v>
      </c>
      <c r="HL10" s="105">
        <v>0.28100000000000003</v>
      </c>
      <c r="HM10" s="105">
        <v>0.28000000000000003</v>
      </c>
      <c r="HN10" s="105">
        <v>0.22800000000000001</v>
      </c>
      <c r="HO10" s="105">
        <v>0.224</v>
      </c>
      <c r="HP10" s="105">
        <v>0.28000000000000003</v>
      </c>
      <c r="HQ10" s="105">
        <v>0.28000000000000003</v>
      </c>
      <c r="HR10" s="105">
        <v>0.22500000000000001</v>
      </c>
      <c r="HS10" s="105">
        <v>0.222</v>
      </c>
      <c r="HT10" s="105">
        <v>0.28000000000000003</v>
      </c>
      <c r="HU10" s="105">
        <v>0.28000000000000003</v>
      </c>
      <c r="HV10" s="105">
        <v>0.22</v>
      </c>
      <c r="HW10" s="105">
        <v>0.221</v>
      </c>
      <c r="HX10" s="105">
        <v>0.27500000000000002</v>
      </c>
      <c r="HY10" s="105">
        <v>0.27600000000000002</v>
      </c>
      <c r="HZ10" s="105">
        <v>0.221</v>
      </c>
      <c r="IA10" s="105">
        <v>0.219</v>
      </c>
      <c r="IB10" s="105">
        <v>0.27100000000000002</v>
      </c>
      <c r="IC10" s="105">
        <v>0.27</v>
      </c>
      <c r="ID10" s="105">
        <v>0.216</v>
      </c>
      <c r="IE10" s="105">
        <v>0.21299999999999999</v>
      </c>
      <c r="IF10" s="105">
        <v>0.26800000000000002</v>
      </c>
      <c r="IG10" s="105">
        <v>0.26600000000000001</v>
      </c>
      <c r="IH10" s="105">
        <v>0.21099999999999999</v>
      </c>
      <c r="II10" s="105">
        <v>0.20899999999999999</v>
      </c>
      <c r="IJ10" s="105">
        <v>0.26100000000000001</v>
      </c>
      <c r="IK10" s="105">
        <v>0.26100000000000001</v>
      </c>
      <c r="IL10" s="105">
        <v>0.20200000000000001</v>
      </c>
      <c r="IM10" s="105">
        <v>0.19800000000000001</v>
      </c>
      <c r="IN10" s="105">
        <v>0.215</v>
      </c>
      <c r="IO10" s="105">
        <v>0.20399999999999999</v>
      </c>
      <c r="IP10" s="105">
        <v>0.14899999999999999</v>
      </c>
      <c r="IQ10" s="105">
        <v>0.14099999999999999</v>
      </c>
      <c r="IR10" s="105">
        <v>0.21299999999999999</v>
      </c>
      <c r="IS10" s="105">
        <v>0.21</v>
      </c>
      <c r="IT10" s="105">
        <v>0.14899999999999999</v>
      </c>
      <c r="IU10" s="105">
        <v>0.14799999999999999</v>
      </c>
      <c r="IV10" s="105">
        <v>0.218</v>
      </c>
      <c r="IW10" s="105">
        <v>0.216</v>
      </c>
      <c r="IX10" s="105">
        <v>0.156</v>
      </c>
      <c r="IY10" s="105">
        <v>0.15</v>
      </c>
      <c r="IZ10" s="105">
        <v>0.218</v>
      </c>
      <c r="JA10" s="105">
        <v>0.223</v>
      </c>
      <c r="JB10" s="105">
        <v>0.153</v>
      </c>
      <c r="JC10" s="105">
        <v>0.155</v>
      </c>
      <c r="JD10" s="105">
        <v>0.222</v>
      </c>
      <c r="JE10" s="105">
        <v>0.22700000000000001</v>
      </c>
      <c r="JF10" s="105">
        <v>0.157</v>
      </c>
      <c r="JG10" s="105">
        <v>0.16200000000000001</v>
      </c>
      <c r="JH10" s="105">
        <v>0.23300000000000001</v>
      </c>
      <c r="JI10" s="105">
        <v>0.23400000000000001</v>
      </c>
      <c r="JJ10" s="105">
        <v>0.16400000000000001</v>
      </c>
      <c r="JK10" s="105">
        <v>0.16500000000000001</v>
      </c>
      <c r="JL10" s="105">
        <v>0.23599999999999999</v>
      </c>
      <c r="JM10" s="105">
        <v>0.23</v>
      </c>
      <c r="JN10" s="105">
        <v>0.17499999999999999</v>
      </c>
      <c r="JO10" s="105">
        <v>0.16800000000000001</v>
      </c>
      <c r="JP10" s="105">
        <v>0.23599999999999999</v>
      </c>
      <c r="JQ10" s="105">
        <v>0.23100000000000001</v>
      </c>
      <c r="JR10" s="105">
        <v>0.17699999999999999</v>
      </c>
      <c r="JS10" s="105">
        <v>0.17299999999999999</v>
      </c>
      <c r="JT10" s="105">
        <v>0.23499999999999999</v>
      </c>
      <c r="JU10" s="105">
        <v>0.23</v>
      </c>
      <c r="JV10" s="105">
        <v>0.17799999999999999</v>
      </c>
      <c r="JW10" s="105">
        <v>0.17199999999999999</v>
      </c>
      <c r="JX10" s="105">
        <v>0.216</v>
      </c>
      <c r="JY10" s="105">
        <v>0.20799999999999999</v>
      </c>
      <c r="JZ10" s="105">
        <v>0.158</v>
      </c>
      <c r="KA10" s="105">
        <v>0.15</v>
      </c>
      <c r="BXV10" s="107">
        <v>1</v>
      </c>
      <c r="BXW10" s="105" t="s">
        <v>404</v>
      </c>
      <c r="BXX10" s="105" t="s">
        <v>154</v>
      </c>
      <c r="BYA10" s="98">
        <v>0</v>
      </c>
      <c r="BYX10" s="105">
        <v>2</v>
      </c>
      <c r="BYY10" s="105">
        <v>2</v>
      </c>
      <c r="BYZ10" s="105">
        <v>2</v>
      </c>
      <c r="CAM10" s="105">
        <v>1</v>
      </c>
      <c r="CAN10" s="105">
        <v>2</v>
      </c>
      <c r="CAO10" s="105">
        <v>0.12</v>
      </c>
      <c r="CAP10" s="105">
        <v>0.01</v>
      </c>
      <c r="CAQ10" s="105">
        <v>8.8999999999999996E-2</v>
      </c>
      <c r="CAR10" s="105">
        <v>3</v>
      </c>
      <c r="CAS10" s="105">
        <v>4</v>
      </c>
      <c r="CAT10" s="105">
        <v>0.12</v>
      </c>
      <c r="CAU10" s="105">
        <v>0.01</v>
      </c>
      <c r="CAV10" s="105">
        <v>8.8999999999999996E-2</v>
      </c>
      <c r="XFA10" s="103"/>
      <c r="XFB10" s="103"/>
      <c r="XFC10" s="103">
        <v>8.1999999999999993</v>
      </c>
      <c r="XFD10" s="103"/>
    </row>
    <row r="11" spans="1:2216 16381:16384">
      <c r="A11" s="103" t="s">
        <v>438</v>
      </c>
      <c r="B11" s="103">
        <v>4</v>
      </c>
      <c r="C11" s="103">
        <v>1</v>
      </c>
      <c r="D11" s="103">
        <v>3</v>
      </c>
      <c r="E11" s="103">
        <v>10</v>
      </c>
      <c r="F11" s="103" t="s">
        <v>424</v>
      </c>
      <c r="GY11" s="106" t="s">
        <v>439</v>
      </c>
      <c r="GZ11" s="105">
        <v>0.77</v>
      </c>
      <c r="HA11" s="105">
        <v>0.78100000000000003</v>
      </c>
      <c r="HB11" s="105">
        <v>0.77400000000000002</v>
      </c>
      <c r="HC11" s="105">
        <v>0.78100000000000003</v>
      </c>
      <c r="HD11" s="105">
        <v>0.76500000000000001</v>
      </c>
      <c r="HE11" s="105">
        <v>0.77400000000000002</v>
      </c>
      <c r="HF11" s="105">
        <v>0.76400000000000001</v>
      </c>
      <c r="HG11" s="105">
        <v>0.77</v>
      </c>
      <c r="HH11" s="105">
        <v>0.75600000000000001</v>
      </c>
      <c r="HI11" s="105">
        <v>0.76200000000000001</v>
      </c>
      <c r="HJ11" s="105">
        <v>0.753</v>
      </c>
      <c r="HK11" s="105">
        <v>0.75800000000000001</v>
      </c>
      <c r="HL11" s="105">
        <v>0.749</v>
      </c>
      <c r="HM11" s="105">
        <v>0.754</v>
      </c>
      <c r="HN11" s="105">
        <v>0.745</v>
      </c>
      <c r="HO11" s="105">
        <v>0.749</v>
      </c>
      <c r="HP11" s="105">
        <v>0.73899999999999999</v>
      </c>
      <c r="HQ11" s="105">
        <v>0.745</v>
      </c>
      <c r="HR11" s="105">
        <v>0.73199999999999998</v>
      </c>
      <c r="HS11" s="105">
        <v>0.73799999999999999</v>
      </c>
      <c r="HT11" s="105">
        <v>0.72299999999999998</v>
      </c>
      <c r="HU11" s="105">
        <v>0.72899999999999998</v>
      </c>
      <c r="HV11" s="105">
        <v>0.72</v>
      </c>
      <c r="HW11" s="105">
        <v>0.72499999999999998</v>
      </c>
      <c r="HX11" s="105">
        <v>0.71499999999999997</v>
      </c>
      <c r="HY11" s="105">
        <v>0.72</v>
      </c>
      <c r="HZ11" s="105">
        <v>0.70599999999999996</v>
      </c>
      <c r="IA11" s="105">
        <v>0.71099999999999997</v>
      </c>
      <c r="IB11" s="105">
        <v>0.69899999999999995</v>
      </c>
      <c r="IC11" s="105">
        <v>0.70499999999999996</v>
      </c>
      <c r="ID11" s="105">
        <v>0.69</v>
      </c>
      <c r="IE11" s="105">
        <v>0.69599999999999995</v>
      </c>
      <c r="IF11" s="105">
        <v>0.68100000000000005</v>
      </c>
      <c r="IG11" s="105">
        <v>0.68500000000000005</v>
      </c>
      <c r="IH11" s="105">
        <v>0.67300000000000004</v>
      </c>
      <c r="II11" s="105">
        <v>0.67700000000000005</v>
      </c>
      <c r="IJ11" s="105">
        <v>0.66400000000000003</v>
      </c>
      <c r="IK11" s="105">
        <v>0.67</v>
      </c>
      <c r="IL11" s="105">
        <v>0.65700000000000003</v>
      </c>
      <c r="IM11" s="105">
        <v>0.66400000000000003</v>
      </c>
      <c r="IN11" s="105">
        <v>0.80900000000000005</v>
      </c>
      <c r="IO11" s="105">
        <v>0.80700000000000005</v>
      </c>
      <c r="IP11" s="105">
        <v>0.78900000000000003</v>
      </c>
      <c r="IQ11" s="105">
        <v>0.79400000000000004</v>
      </c>
      <c r="IR11" s="105">
        <v>0.79400000000000004</v>
      </c>
      <c r="IS11" s="105">
        <v>0.79900000000000004</v>
      </c>
      <c r="IT11" s="105">
        <v>0.78</v>
      </c>
      <c r="IU11" s="105">
        <v>0.78600000000000003</v>
      </c>
      <c r="IV11" s="105">
        <v>0.78900000000000003</v>
      </c>
      <c r="IW11" s="105">
        <v>0.79300000000000004</v>
      </c>
      <c r="IX11" s="105">
        <v>0.77300000000000002</v>
      </c>
      <c r="IY11" s="105">
        <v>0.78</v>
      </c>
      <c r="IZ11" s="105">
        <v>0.78100000000000003</v>
      </c>
      <c r="JA11" s="105">
        <v>0.78600000000000003</v>
      </c>
      <c r="JB11" s="105">
        <v>0.76700000000000002</v>
      </c>
      <c r="JC11" s="105">
        <v>0.77300000000000002</v>
      </c>
      <c r="JD11" s="105">
        <v>0.77200000000000002</v>
      </c>
      <c r="JE11" s="105">
        <v>0.77700000000000002</v>
      </c>
      <c r="JF11" s="105">
        <v>0.75700000000000001</v>
      </c>
      <c r="JG11" s="105">
        <v>0.76300000000000001</v>
      </c>
      <c r="JH11" s="105">
        <v>0.76</v>
      </c>
      <c r="JI11" s="105">
        <v>0.76100000000000001</v>
      </c>
      <c r="JJ11" s="105">
        <v>0.74199999999999999</v>
      </c>
      <c r="JK11" s="105">
        <v>0.749</v>
      </c>
      <c r="JL11" s="105">
        <v>0.747</v>
      </c>
      <c r="JM11" s="105">
        <v>0.752</v>
      </c>
      <c r="JN11" s="105">
        <v>0.73299999999999998</v>
      </c>
      <c r="JO11" s="105">
        <v>0.73799999999999999</v>
      </c>
      <c r="JP11" s="105">
        <v>0.74</v>
      </c>
      <c r="JQ11" s="105">
        <v>0.73599999999999999</v>
      </c>
      <c r="JR11" s="105">
        <v>0.71699999999999997</v>
      </c>
      <c r="JS11" s="105">
        <v>0.72299999999999998</v>
      </c>
      <c r="JT11" s="105">
        <v>0.71699999999999997</v>
      </c>
      <c r="JU11" s="105">
        <v>0.71799999999999997</v>
      </c>
      <c r="JV11" s="105">
        <v>0.7</v>
      </c>
      <c r="JW11" s="105">
        <v>0.70399999999999996</v>
      </c>
      <c r="JX11" s="105">
        <v>0.70399999999999996</v>
      </c>
      <c r="JY11" s="105">
        <v>0.70499999999999996</v>
      </c>
      <c r="JZ11" s="105">
        <v>0.68600000000000005</v>
      </c>
      <c r="KA11" s="105">
        <v>0.69099999999999995</v>
      </c>
      <c r="KB11" s="105">
        <v>0.83099999999999996</v>
      </c>
      <c r="KC11" s="105">
        <v>0.83299999999999996</v>
      </c>
      <c r="KD11" s="105">
        <v>0.82699999999999996</v>
      </c>
      <c r="KE11" s="105">
        <v>0.82199999999999995</v>
      </c>
      <c r="KF11" s="105">
        <v>0.82299999999999995</v>
      </c>
      <c r="KG11" s="105">
        <v>0.82399999999999995</v>
      </c>
      <c r="KH11" s="105">
        <v>0.81200000000000006</v>
      </c>
      <c r="KI11" s="105">
        <v>0.81200000000000006</v>
      </c>
      <c r="KJ11" s="105">
        <v>0.81499999999999995</v>
      </c>
      <c r="KK11" s="105">
        <v>0.81799999999999995</v>
      </c>
      <c r="KL11" s="105">
        <v>0.80700000000000005</v>
      </c>
      <c r="KM11" s="105">
        <v>0.80600000000000005</v>
      </c>
      <c r="KN11" s="105">
        <v>0.80800000000000005</v>
      </c>
      <c r="KO11" s="105">
        <v>0.81</v>
      </c>
      <c r="KP11" s="105">
        <v>0.8</v>
      </c>
      <c r="KQ11" s="105">
        <v>0.79900000000000004</v>
      </c>
      <c r="KR11" s="105">
        <v>0.8</v>
      </c>
      <c r="KS11" s="105">
        <v>0.80300000000000005</v>
      </c>
      <c r="KT11" s="105">
        <v>0.79300000000000004</v>
      </c>
      <c r="KU11" s="105">
        <v>0.79200000000000004</v>
      </c>
      <c r="KV11" s="105">
        <v>0.78500000000000003</v>
      </c>
      <c r="KW11" s="105">
        <v>0.78800000000000003</v>
      </c>
      <c r="KX11" s="105">
        <v>0.77600000000000002</v>
      </c>
      <c r="KY11" s="105">
        <v>0.77500000000000002</v>
      </c>
      <c r="KZ11" s="105">
        <v>0.77400000000000002</v>
      </c>
      <c r="LA11" s="105">
        <v>0.77400000000000002</v>
      </c>
      <c r="LB11" s="105">
        <v>0.76200000000000001</v>
      </c>
      <c r="LC11" s="105">
        <v>0.76300000000000001</v>
      </c>
      <c r="LD11" s="105">
        <v>0.76100000000000001</v>
      </c>
      <c r="LE11" s="105">
        <v>0.76300000000000001</v>
      </c>
      <c r="LF11" s="105">
        <v>0.75</v>
      </c>
      <c r="LG11" s="105">
        <v>0.749</v>
      </c>
      <c r="LH11" s="105">
        <v>0.745</v>
      </c>
      <c r="LI11" s="105">
        <v>0.747</v>
      </c>
      <c r="LJ11" s="105">
        <v>0.73</v>
      </c>
      <c r="LK11" s="105">
        <v>0.73199999999999998</v>
      </c>
      <c r="LL11" s="105">
        <v>0.73299999999999998</v>
      </c>
      <c r="LM11" s="105">
        <v>0.73699999999999999</v>
      </c>
      <c r="LN11" s="105">
        <v>0.71699999999999997</v>
      </c>
      <c r="LO11" s="105">
        <v>0.71899999999999997</v>
      </c>
      <c r="BXV11" s="107">
        <v>1</v>
      </c>
      <c r="BXW11" s="105" t="s">
        <v>155</v>
      </c>
      <c r="BXX11" s="105" t="s">
        <v>154</v>
      </c>
      <c r="BYA11" s="98">
        <v>0</v>
      </c>
      <c r="BYX11" s="105">
        <v>2</v>
      </c>
      <c r="BYY11" s="105">
        <v>2</v>
      </c>
      <c r="BYZ11" s="105">
        <v>2</v>
      </c>
      <c r="CAM11" s="105">
        <v>1</v>
      </c>
      <c r="CAN11" s="105">
        <v>2</v>
      </c>
      <c r="CAO11" s="105">
        <v>0.09</v>
      </c>
      <c r="CAP11" s="105">
        <v>0.01</v>
      </c>
      <c r="CAQ11" s="105">
        <v>8.8999999999999996E-2</v>
      </c>
      <c r="CAR11" s="105">
        <v>3</v>
      </c>
      <c r="CAS11" s="105">
        <v>4</v>
      </c>
      <c r="CAT11" s="105">
        <v>0.09</v>
      </c>
      <c r="CAU11" s="105">
        <v>0.01</v>
      </c>
      <c r="CAV11" s="105">
        <v>8.8999999999999996E-2</v>
      </c>
      <c r="XFA11" s="103"/>
      <c r="XFB11" s="103"/>
      <c r="XFC11" s="103">
        <v>8.3000000000000007</v>
      </c>
      <c r="XFD11" s="103"/>
    </row>
    <row r="12" spans="1:2216 16381:16384">
      <c r="A12" s="103" t="s">
        <v>440</v>
      </c>
      <c r="B12" s="103">
        <v>2</v>
      </c>
      <c r="C12" s="103">
        <v>1</v>
      </c>
      <c r="D12" s="103">
        <v>4</v>
      </c>
      <c r="E12" s="103">
        <v>3</v>
      </c>
      <c r="F12" s="103" t="s">
        <v>424</v>
      </c>
      <c r="GY12" s="106" t="s">
        <v>441</v>
      </c>
      <c r="GZ12" s="105">
        <v>0.315</v>
      </c>
      <c r="HA12" s="105">
        <v>0.27600000000000002</v>
      </c>
      <c r="HB12" s="105">
        <v>0.374</v>
      </c>
      <c r="HC12" s="105">
        <v>0.32600000000000001</v>
      </c>
      <c r="HD12" s="105">
        <v>0.43</v>
      </c>
      <c r="HE12" s="105">
        <v>0.39500000000000002</v>
      </c>
      <c r="HF12" s="105">
        <v>0.48299999999999998</v>
      </c>
      <c r="HG12" s="105">
        <v>0.44500000000000001</v>
      </c>
      <c r="HH12" s="105">
        <v>0.34200000000000003</v>
      </c>
      <c r="HI12" s="105">
        <v>0.30499999999999999</v>
      </c>
      <c r="HJ12" s="105">
        <v>0.39</v>
      </c>
      <c r="HK12" s="105">
        <v>0.34699999999999998</v>
      </c>
      <c r="HL12" s="105">
        <v>0.442</v>
      </c>
      <c r="HM12" s="105">
        <v>0.41</v>
      </c>
      <c r="HN12" s="105">
        <v>0.49299999999999999</v>
      </c>
      <c r="HO12" s="105">
        <v>0.45900000000000002</v>
      </c>
      <c r="HP12" s="105">
        <v>0.34599999999999997</v>
      </c>
      <c r="HQ12" s="105">
        <v>0.32</v>
      </c>
      <c r="HR12" s="105">
        <v>0.39300000000000002</v>
      </c>
      <c r="HS12" s="105">
        <v>0.35399999999999998</v>
      </c>
      <c r="HT12" s="105">
        <v>0.44</v>
      </c>
      <c r="HU12" s="105">
        <v>0.41399999999999998</v>
      </c>
      <c r="HV12" s="105">
        <v>0.49199999999999999</v>
      </c>
      <c r="HW12" s="105">
        <v>0.45800000000000002</v>
      </c>
      <c r="BXV12" s="107">
        <v>1</v>
      </c>
      <c r="BXW12" s="105" t="s">
        <v>155</v>
      </c>
      <c r="BXX12" s="105" t="s">
        <v>154</v>
      </c>
      <c r="BYA12" s="98">
        <v>0</v>
      </c>
      <c r="BYX12" s="105">
        <v>1</v>
      </c>
      <c r="BYY12" s="105">
        <v>2</v>
      </c>
      <c r="CAM12" s="105">
        <v>1</v>
      </c>
      <c r="CAN12" s="105">
        <v>2</v>
      </c>
      <c r="CAO12" s="105">
        <v>0.11</v>
      </c>
      <c r="CAP12" s="105">
        <v>0.01</v>
      </c>
      <c r="CAQ12" s="105">
        <v>8.8999999999999996E-2</v>
      </c>
      <c r="XFA12" s="103"/>
      <c r="XFB12" s="103"/>
      <c r="XFC12" s="103">
        <v>8.4</v>
      </c>
      <c r="XFD12" s="103"/>
    </row>
    <row r="13" spans="1:2216 16381:16384">
      <c r="A13" s="103" t="s">
        <v>442</v>
      </c>
      <c r="B13" s="103">
        <v>4</v>
      </c>
      <c r="C13" s="103">
        <v>1</v>
      </c>
      <c r="D13" s="103">
        <v>8</v>
      </c>
      <c r="E13" s="103">
        <v>1</v>
      </c>
      <c r="F13" s="103" t="s">
        <v>424</v>
      </c>
      <c r="GY13" s="106" t="s">
        <v>443</v>
      </c>
      <c r="GZ13" s="105">
        <v>0.55800000000000005</v>
      </c>
      <c r="HA13" s="105">
        <v>0.54900000000000004</v>
      </c>
      <c r="HB13" s="105">
        <v>0.58099999999999996</v>
      </c>
      <c r="HC13" s="105">
        <v>0.57799999999999996</v>
      </c>
      <c r="HD13" s="105">
        <v>0.60799999999999998</v>
      </c>
      <c r="HE13" s="105">
        <v>0.60699999999999998</v>
      </c>
      <c r="HF13" s="105">
        <v>0.60099999999999998</v>
      </c>
      <c r="HG13" s="105">
        <v>0.60799999999999998</v>
      </c>
      <c r="HH13" s="105">
        <v>0.628</v>
      </c>
      <c r="HI13" s="105">
        <v>0.61699999999999999</v>
      </c>
      <c r="HJ13" s="105">
        <v>0.64400000000000002</v>
      </c>
      <c r="HK13" s="105">
        <v>0.64800000000000002</v>
      </c>
      <c r="HL13" s="105">
        <v>0.66700000000000004</v>
      </c>
      <c r="HM13" s="105">
        <v>0.65700000000000003</v>
      </c>
      <c r="HN13" s="105">
        <v>0.69799999999999995</v>
      </c>
      <c r="HO13" s="105">
        <v>0.70299999999999996</v>
      </c>
      <c r="HP13" s="105">
        <v>0.68700000000000006</v>
      </c>
      <c r="HQ13" s="105">
        <v>0.69</v>
      </c>
      <c r="HR13" s="105">
        <v>0.72899999999999998</v>
      </c>
      <c r="HS13" s="105">
        <v>0.73199999999999998</v>
      </c>
      <c r="HT13" s="105">
        <v>0.73599999999999999</v>
      </c>
      <c r="HU13" s="105">
        <v>0.72099999999999997</v>
      </c>
      <c r="HV13" s="105">
        <v>0.75800000000000001</v>
      </c>
      <c r="HW13" s="105">
        <v>0.77</v>
      </c>
      <c r="HX13" s="105">
        <v>0.78900000000000003</v>
      </c>
      <c r="HY13" s="105">
        <v>0.78200000000000003</v>
      </c>
      <c r="HZ13" s="105">
        <v>0.79900000000000004</v>
      </c>
      <c r="IA13" s="105">
        <v>0.80500000000000005</v>
      </c>
      <c r="IB13" s="105">
        <v>0.84599999999999997</v>
      </c>
      <c r="IC13" s="105">
        <v>0.84</v>
      </c>
      <c r="ID13" s="105">
        <v>0.84699999999999998</v>
      </c>
      <c r="IE13" s="105">
        <v>0.85199999999999998</v>
      </c>
      <c r="BXV13" s="107">
        <v>1</v>
      </c>
      <c r="BXW13" s="105" t="s">
        <v>155</v>
      </c>
      <c r="BXX13" s="105" t="s">
        <v>154</v>
      </c>
      <c r="BYA13" s="98">
        <v>0</v>
      </c>
      <c r="BYX13" s="105">
        <v>2</v>
      </c>
      <c r="BYY13" s="105">
        <v>2</v>
      </c>
      <c r="BYZ13" s="105">
        <v>2</v>
      </c>
      <c r="CAM13" s="105">
        <v>1</v>
      </c>
      <c r="CAN13" s="105">
        <v>2</v>
      </c>
      <c r="CAO13" s="105">
        <v>0.1</v>
      </c>
      <c r="CAP13" s="105">
        <v>0.01</v>
      </c>
      <c r="CAQ13" s="105">
        <v>8.8999999999999996E-2</v>
      </c>
      <c r="CAR13" s="105">
        <v>3</v>
      </c>
      <c r="CAS13" s="105">
        <v>4</v>
      </c>
      <c r="CAT13" s="105">
        <v>0.1</v>
      </c>
      <c r="CAU13" s="105">
        <v>0.01</v>
      </c>
      <c r="CAV13" s="105">
        <v>8.8999999999999996E-2</v>
      </c>
      <c r="XFB13" s="103"/>
      <c r="XFC13" s="103">
        <v>9</v>
      </c>
      <c r="XFD13" s="103"/>
    </row>
    <row r="14" spans="1:2216 16381:16384">
      <c r="A14" s="103" t="s">
        <v>444</v>
      </c>
      <c r="B14" s="103">
        <v>4</v>
      </c>
      <c r="C14" s="103">
        <v>1</v>
      </c>
      <c r="D14" s="103">
        <v>2</v>
      </c>
      <c r="E14" s="103">
        <v>9</v>
      </c>
      <c r="F14" s="103" t="s">
        <v>424</v>
      </c>
      <c r="GY14" s="106" t="s">
        <v>445</v>
      </c>
      <c r="GZ14" s="105">
        <v>0.30399999999999999</v>
      </c>
      <c r="HA14" s="105">
        <v>0.318</v>
      </c>
      <c r="HB14" s="105">
        <v>0.26900000000000002</v>
      </c>
      <c r="HC14" s="105">
        <v>0.27500000000000002</v>
      </c>
      <c r="HD14" s="105">
        <v>0.312</v>
      </c>
      <c r="HE14" s="105">
        <v>0.32300000000000001</v>
      </c>
      <c r="HF14" s="105">
        <v>0.27300000000000002</v>
      </c>
      <c r="HG14" s="105">
        <v>0.27700000000000002</v>
      </c>
      <c r="HH14" s="105">
        <v>0.312</v>
      </c>
      <c r="HI14" s="105">
        <v>0.32300000000000001</v>
      </c>
      <c r="HJ14" s="105">
        <v>0.27100000000000002</v>
      </c>
      <c r="HK14" s="105">
        <v>0.27700000000000002</v>
      </c>
      <c r="HL14" s="105">
        <v>0.313</v>
      </c>
      <c r="HM14" s="105">
        <v>0.32400000000000001</v>
      </c>
      <c r="HN14" s="105">
        <v>0.27300000000000002</v>
      </c>
      <c r="HO14" s="105">
        <v>0.27700000000000002</v>
      </c>
      <c r="HP14" s="105">
        <v>0.315</v>
      </c>
      <c r="HQ14" s="105">
        <v>0.32700000000000001</v>
      </c>
      <c r="HR14" s="105">
        <v>0.27200000000000002</v>
      </c>
      <c r="HS14" s="105">
        <v>0.27800000000000002</v>
      </c>
      <c r="HT14" s="105">
        <v>0.313</v>
      </c>
      <c r="HU14" s="105">
        <v>0.32500000000000001</v>
      </c>
      <c r="HV14" s="105">
        <v>0.26800000000000002</v>
      </c>
      <c r="HW14" s="105">
        <v>0.27400000000000002</v>
      </c>
      <c r="HX14" s="105">
        <v>0.309</v>
      </c>
      <c r="HY14" s="105">
        <v>0.32200000000000001</v>
      </c>
      <c r="HZ14" s="105">
        <v>0.26700000000000002</v>
      </c>
      <c r="IA14" s="105">
        <v>0.27200000000000002</v>
      </c>
      <c r="IB14" s="105">
        <v>0.30499999999999999</v>
      </c>
      <c r="IC14" s="105">
        <v>0.32500000000000001</v>
      </c>
      <c r="ID14" s="105">
        <v>0.26300000000000001</v>
      </c>
      <c r="IE14" s="105">
        <v>0.27200000000000002</v>
      </c>
      <c r="IF14" s="105">
        <v>0.30299999999999999</v>
      </c>
      <c r="IG14" s="105">
        <v>0.317</v>
      </c>
      <c r="IH14" s="105">
        <v>0.26</v>
      </c>
      <c r="II14" s="105">
        <v>0.26700000000000002</v>
      </c>
      <c r="IJ14" s="105">
        <v>0.39100000000000001</v>
      </c>
      <c r="IK14" s="105">
        <v>0.40600000000000003</v>
      </c>
      <c r="IL14" s="105">
        <v>0.33600000000000002</v>
      </c>
      <c r="IM14" s="105">
        <v>0.35399999999999998</v>
      </c>
      <c r="IN14" s="105">
        <v>0.39300000000000002</v>
      </c>
      <c r="IO14" s="105">
        <v>0.41099999999999998</v>
      </c>
      <c r="IP14" s="105">
        <v>0.34</v>
      </c>
      <c r="IQ14" s="105">
        <v>0.35499999999999998</v>
      </c>
      <c r="IR14" s="105">
        <v>0.39400000000000002</v>
      </c>
      <c r="IS14" s="105">
        <v>0.41299999999999998</v>
      </c>
      <c r="IT14" s="105">
        <v>0.34300000000000003</v>
      </c>
      <c r="IU14" s="105">
        <v>0.35599999999999998</v>
      </c>
      <c r="IV14" s="105">
        <v>0.39900000000000002</v>
      </c>
      <c r="IW14" s="105">
        <v>0.41099999999999998</v>
      </c>
      <c r="IX14" s="105">
        <v>0.34399999999999997</v>
      </c>
      <c r="IY14" s="105">
        <v>0.35799999999999998</v>
      </c>
      <c r="IZ14" s="105">
        <v>0.39700000000000002</v>
      </c>
      <c r="JA14" s="105">
        <v>0.40899999999999997</v>
      </c>
      <c r="JB14" s="105">
        <v>0.34200000000000003</v>
      </c>
      <c r="JC14" s="105">
        <v>0.35699999999999998</v>
      </c>
      <c r="JD14" s="105">
        <v>0.39400000000000002</v>
      </c>
      <c r="JE14" s="105">
        <v>0.40899999999999997</v>
      </c>
      <c r="JF14" s="105">
        <v>0.34</v>
      </c>
      <c r="JG14" s="105">
        <v>0.35399999999999998</v>
      </c>
      <c r="JH14" s="105">
        <v>0.39200000000000002</v>
      </c>
      <c r="JI14" s="105">
        <v>0.40600000000000003</v>
      </c>
      <c r="JJ14" s="105">
        <v>0.33900000000000002</v>
      </c>
      <c r="JK14" s="105">
        <v>0.35399999999999998</v>
      </c>
      <c r="JL14" s="105">
        <v>0.38600000000000001</v>
      </c>
      <c r="JM14" s="105">
        <v>0.40200000000000002</v>
      </c>
      <c r="JN14" s="105">
        <v>0.33500000000000002</v>
      </c>
      <c r="JO14" s="105">
        <v>0.35</v>
      </c>
      <c r="JP14" s="105">
        <v>0.38500000000000001</v>
      </c>
      <c r="JQ14" s="105">
        <v>0.4</v>
      </c>
      <c r="JR14" s="105">
        <v>0.33300000000000002</v>
      </c>
      <c r="JS14" s="105">
        <v>0.34699999999999998</v>
      </c>
      <c r="BXV14" s="107">
        <v>1</v>
      </c>
      <c r="BXW14" s="105" t="s">
        <v>155</v>
      </c>
      <c r="BXX14" s="105" t="s">
        <v>154</v>
      </c>
      <c r="BYA14" s="98">
        <v>0</v>
      </c>
      <c r="BYX14" s="105">
        <v>2</v>
      </c>
      <c r="BYY14" s="105">
        <v>2</v>
      </c>
      <c r="BYZ14" s="105">
        <v>2</v>
      </c>
      <c r="CAM14" s="105">
        <v>1</v>
      </c>
      <c r="CAN14" s="105">
        <v>2</v>
      </c>
      <c r="CAO14" s="105">
        <v>0.105</v>
      </c>
      <c r="CAP14" s="105">
        <v>0.01</v>
      </c>
      <c r="CAQ14" s="105">
        <v>0.09</v>
      </c>
      <c r="CAR14" s="105">
        <v>3</v>
      </c>
      <c r="CAS14" s="105">
        <v>4</v>
      </c>
      <c r="CAT14" s="105">
        <v>0.105</v>
      </c>
      <c r="CAU14" s="105">
        <v>0.01</v>
      </c>
      <c r="CAV14" s="105">
        <v>0.09</v>
      </c>
      <c r="XFC14" s="103">
        <v>10</v>
      </c>
      <c r="XFD14" s="103"/>
    </row>
    <row r="15" spans="1:2216 16381:16384">
      <c r="A15" s="103" t="s">
        <v>446</v>
      </c>
      <c r="B15" s="103">
        <v>4</v>
      </c>
      <c r="C15" s="103">
        <v>1</v>
      </c>
      <c r="D15" s="103">
        <v>2</v>
      </c>
      <c r="E15" s="103">
        <v>10</v>
      </c>
      <c r="F15" s="103" t="s">
        <v>447</v>
      </c>
      <c r="GY15" s="106" t="s">
        <v>448</v>
      </c>
      <c r="GZ15" s="105">
        <v>0.42599999999999999</v>
      </c>
      <c r="HA15" s="105">
        <v>0.41699999999999998</v>
      </c>
      <c r="HB15" s="105">
        <v>0.39500000000000002</v>
      </c>
      <c r="HC15" s="105">
        <v>0.38100000000000001</v>
      </c>
      <c r="HD15" s="105">
        <v>0.42499999999999999</v>
      </c>
      <c r="HE15" s="105">
        <v>0.41699999999999998</v>
      </c>
      <c r="HF15" s="105">
        <v>0.39300000000000002</v>
      </c>
      <c r="HG15" s="105">
        <v>0.379</v>
      </c>
      <c r="HH15" s="105">
        <v>0.42699999999999999</v>
      </c>
      <c r="HI15" s="105">
        <v>0.41699999999999998</v>
      </c>
      <c r="HJ15" s="105">
        <v>0.39400000000000002</v>
      </c>
      <c r="HK15" s="105">
        <v>0.379</v>
      </c>
      <c r="HL15" s="105">
        <v>0.42299999999999999</v>
      </c>
      <c r="HM15" s="105">
        <v>0.41399999999999998</v>
      </c>
      <c r="HN15" s="105">
        <v>0.39</v>
      </c>
      <c r="HO15" s="105">
        <v>0.375</v>
      </c>
      <c r="HP15" s="105">
        <v>0.42399999999999999</v>
      </c>
      <c r="HQ15" s="105">
        <v>0.41399999999999998</v>
      </c>
      <c r="HR15" s="105">
        <v>0.39</v>
      </c>
      <c r="HS15" s="105">
        <v>0.375</v>
      </c>
      <c r="HT15" s="105">
        <v>0.42199999999999999</v>
      </c>
      <c r="HU15" s="105">
        <v>0.41199999999999998</v>
      </c>
      <c r="HV15" s="105">
        <v>0.38800000000000001</v>
      </c>
      <c r="HW15" s="105">
        <v>0.372</v>
      </c>
      <c r="HX15" s="105">
        <v>0.42099999999999999</v>
      </c>
      <c r="HY15" s="105">
        <v>0.41</v>
      </c>
      <c r="HZ15" s="105">
        <v>0.38500000000000001</v>
      </c>
      <c r="IA15" s="105">
        <v>0.37</v>
      </c>
      <c r="IB15" s="105">
        <v>0.41899999999999998</v>
      </c>
      <c r="IC15" s="105">
        <v>0.40799999999999997</v>
      </c>
      <c r="ID15" s="105">
        <v>0.38300000000000001</v>
      </c>
      <c r="IE15" s="105">
        <v>0.36699999999999999</v>
      </c>
      <c r="IF15" s="105">
        <v>0.41699999999999998</v>
      </c>
      <c r="IG15" s="105">
        <v>0.40500000000000003</v>
      </c>
      <c r="IH15" s="105">
        <v>0.38</v>
      </c>
      <c r="II15" s="105">
        <v>0.36299999999999999</v>
      </c>
      <c r="IJ15" s="105">
        <v>0.41399999999999998</v>
      </c>
      <c r="IK15" s="105">
        <v>0.40300000000000002</v>
      </c>
      <c r="IL15" s="105">
        <v>0.377</v>
      </c>
      <c r="IM15" s="105">
        <v>0.36199999999999999</v>
      </c>
      <c r="IN15" s="105">
        <v>0.33700000000000002</v>
      </c>
      <c r="IO15" s="105">
        <v>0.32400000000000001</v>
      </c>
      <c r="IP15" s="105">
        <v>0.30099999999999999</v>
      </c>
      <c r="IQ15" s="105">
        <v>0.29799999999999999</v>
      </c>
      <c r="IR15" s="105">
        <v>0.33400000000000002</v>
      </c>
      <c r="IS15" s="105">
        <v>0.32200000000000001</v>
      </c>
      <c r="IT15" s="105">
        <v>0.30099999999999999</v>
      </c>
      <c r="IU15" s="105">
        <v>0.29399999999999998</v>
      </c>
      <c r="IV15" s="105">
        <v>0.33200000000000002</v>
      </c>
      <c r="IW15" s="105">
        <v>0.32</v>
      </c>
      <c r="IX15" s="105">
        <v>0.29899999999999999</v>
      </c>
      <c r="IY15" s="105">
        <v>0.29199999999999998</v>
      </c>
      <c r="IZ15" s="105">
        <v>0.32900000000000001</v>
      </c>
      <c r="JA15" s="105">
        <v>0.317</v>
      </c>
      <c r="JB15" s="105">
        <v>0.29599999999999999</v>
      </c>
      <c r="JC15" s="105">
        <v>0.28799999999999998</v>
      </c>
      <c r="JD15" s="105">
        <v>0.32800000000000001</v>
      </c>
      <c r="JE15" s="105">
        <v>0.315</v>
      </c>
      <c r="JF15" s="105">
        <v>0.29599999999999999</v>
      </c>
      <c r="JG15" s="105">
        <v>0.28699999999999998</v>
      </c>
      <c r="JH15" s="105">
        <v>0.32300000000000001</v>
      </c>
      <c r="JI15" s="105">
        <v>0.314</v>
      </c>
      <c r="JJ15" s="105">
        <v>0.29199999999999998</v>
      </c>
      <c r="JK15" s="105">
        <v>0.28399999999999997</v>
      </c>
      <c r="JL15" s="105">
        <v>0.32600000000000001</v>
      </c>
      <c r="JM15" s="105">
        <v>0.311</v>
      </c>
      <c r="JN15" s="105">
        <v>0.29399999999999998</v>
      </c>
      <c r="JO15" s="105">
        <v>0.28199999999999997</v>
      </c>
      <c r="JP15" s="105">
        <v>0.316</v>
      </c>
      <c r="JQ15" s="105">
        <v>0.30299999999999999</v>
      </c>
      <c r="JR15" s="105">
        <v>0.29599999999999999</v>
      </c>
      <c r="JS15" s="105">
        <v>0.27600000000000002</v>
      </c>
      <c r="JT15" s="105">
        <v>0.317</v>
      </c>
      <c r="JU15" s="105">
        <v>0.30399999999999999</v>
      </c>
      <c r="JV15" s="105">
        <v>0.28499999999999998</v>
      </c>
      <c r="JW15" s="105">
        <v>0.27400000000000002</v>
      </c>
      <c r="JX15" s="105">
        <v>0.312</v>
      </c>
      <c r="JY15" s="105">
        <v>0.29799999999999999</v>
      </c>
      <c r="JZ15" s="105">
        <v>0.28000000000000003</v>
      </c>
      <c r="KA15" s="105">
        <v>0.26900000000000002</v>
      </c>
      <c r="BXV15" s="107">
        <v>1</v>
      </c>
      <c r="BXW15" s="105" t="s">
        <v>155</v>
      </c>
      <c r="BXX15" s="105" t="s">
        <v>154</v>
      </c>
      <c r="BYA15" s="98">
        <v>0</v>
      </c>
      <c r="BYX15" s="105">
        <v>3</v>
      </c>
      <c r="BYY15" s="105">
        <v>1</v>
      </c>
      <c r="BYZ15" s="105">
        <v>1</v>
      </c>
      <c r="BZA15" s="105">
        <v>2</v>
      </c>
      <c r="CAM15" s="105">
        <v>1</v>
      </c>
      <c r="CAN15" s="105">
        <v>1</v>
      </c>
      <c r="CAO15" s="105">
        <v>0</v>
      </c>
      <c r="CAP15" s="105">
        <v>0.01</v>
      </c>
      <c r="CAQ15" s="105">
        <v>0.17899999999999999</v>
      </c>
      <c r="CAR15" s="105">
        <v>2</v>
      </c>
      <c r="CAS15" s="105">
        <v>2</v>
      </c>
      <c r="CAT15" s="105">
        <v>0</v>
      </c>
      <c r="CAU15" s="105">
        <v>0.13</v>
      </c>
      <c r="CAV15" s="105">
        <v>0.26900000000000002</v>
      </c>
      <c r="CAW15" s="105">
        <v>3</v>
      </c>
      <c r="CAX15" s="105">
        <v>4</v>
      </c>
      <c r="CAY15" s="105">
        <v>0</v>
      </c>
      <c r="CAZ15" s="105">
        <v>0.01</v>
      </c>
      <c r="CBA15" s="105">
        <v>0.17899999999999999</v>
      </c>
    </row>
    <row r="16" spans="1:2216 16381:16384">
      <c r="A16" s="103" t="s">
        <v>391</v>
      </c>
      <c r="B16" s="103">
        <v>20</v>
      </c>
      <c r="C16" s="103">
        <v>1</v>
      </c>
      <c r="D16" s="103">
        <v>3</v>
      </c>
      <c r="E16" s="103">
        <v>10</v>
      </c>
      <c r="F16" s="103" t="s">
        <v>447</v>
      </c>
      <c r="GY16" s="106"/>
      <c r="BXV16" s="107">
        <v>1</v>
      </c>
      <c r="BYA16" s="98">
        <v>0</v>
      </c>
      <c r="BYX16" s="105">
        <v>2</v>
      </c>
      <c r="BYY16" s="105">
        <v>10</v>
      </c>
      <c r="BYZ16" s="105">
        <v>10</v>
      </c>
      <c r="CAM16" s="105">
        <v>1</v>
      </c>
      <c r="CAN16" s="105">
        <v>10</v>
      </c>
      <c r="CAO16" s="105">
        <v>0.09</v>
      </c>
      <c r="CAP16" s="105">
        <v>0</v>
      </c>
      <c r="CAQ16" s="105">
        <v>0.09</v>
      </c>
      <c r="CAR16" s="105">
        <v>11</v>
      </c>
      <c r="CAS16" s="105">
        <v>20</v>
      </c>
      <c r="CAT16" s="105">
        <v>0.105</v>
      </c>
      <c r="CAU16" s="105">
        <v>0</v>
      </c>
      <c r="CAV16" s="105">
        <v>0.09</v>
      </c>
    </row>
    <row r="17" spans="1:543 1998:2030 2067:2086">
      <c r="A17" s="103" t="s">
        <v>449</v>
      </c>
      <c r="B17" s="103">
        <v>4</v>
      </c>
      <c r="C17" s="103">
        <v>1</v>
      </c>
      <c r="D17" s="103">
        <v>6</v>
      </c>
      <c r="E17" s="103">
        <v>4</v>
      </c>
      <c r="F17" s="103" t="s">
        <v>447</v>
      </c>
      <c r="GY17" s="106" t="s">
        <v>405</v>
      </c>
      <c r="GZ17" s="105">
        <v>0.22700000000000001</v>
      </c>
      <c r="HA17" s="105">
        <v>0.22700000000000001</v>
      </c>
      <c r="HB17" s="105">
        <v>0.23100000000000001</v>
      </c>
      <c r="HC17" s="105">
        <v>0.23100000000000001</v>
      </c>
      <c r="HD17" s="105">
        <v>0.23499999999999999</v>
      </c>
      <c r="HE17" s="105">
        <v>0.23400000000000001</v>
      </c>
      <c r="HF17" s="105">
        <v>0.23400000000000001</v>
      </c>
      <c r="HG17" s="105">
        <v>0.23300000000000001</v>
      </c>
      <c r="HH17" s="105">
        <v>0.23200000000000001</v>
      </c>
      <c r="HI17" s="105">
        <v>0.22700000000000001</v>
      </c>
      <c r="HJ17" s="105">
        <v>0.23200000000000001</v>
      </c>
      <c r="HK17" s="105">
        <v>0.23100000000000001</v>
      </c>
      <c r="HL17" s="105">
        <v>0.23</v>
      </c>
      <c r="HM17" s="105">
        <v>0.23200000000000001</v>
      </c>
      <c r="HN17" s="105">
        <v>0.23200000000000001</v>
      </c>
      <c r="HO17" s="105">
        <v>0.23</v>
      </c>
      <c r="HP17" s="105">
        <v>0.23699999999999999</v>
      </c>
      <c r="HQ17" s="105">
        <v>0.23499999999999999</v>
      </c>
      <c r="HR17" s="105">
        <v>0.23799999999999999</v>
      </c>
      <c r="HS17" s="105">
        <v>0.23599999999999999</v>
      </c>
      <c r="HT17" s="105">
        <v>0.24199999999999999</v>
      </c>
      <c r="HU17" s="105">
        <v>0.24199999999999999</v>
      </c>
      <c r="HV17" s="105">
        <v>0.24099999999999999</v>
      </c>
      <c r="HW17" s="105">
        <v>0.24</v>
      </c>
      <c r="HX17" s="105">
        <v>0.24099999999999999</v>
      </c>
      <c r="HY17" s="105">
        <v>0.23799999999999999</v>
      </c>
      <c r="HZ17" s="105">
        <v>0.24099999999999999</v>
      </c>
      <c r="IA17" s="105">
        <v>0.23899999999999999</v>
      </c>
      <c r="IB17" s="105">
        <v>0.23899999999999999</v>
      </c>
      <c r="IC17" s="105">
        <v>0.24</v>
      </c>
      <c r="ID17" s="105">
        <v>0.23899999999999999</v>
      </c>
      <c r="IE17" s="105">
        <v>0.23799999999999999</v>
      </c>
      <c r="IF17" s="105">
        <v>0.24299999999999999</v>
      </c>
      <c r="IG17" s="105">
        <v>0.24399999999999999</v>
      </c>
      <c r="IH17" s="105">
        <v>0.245</v>
      </c>
      <c r="II17" s="105">
        <v>0.245</v>
      </c>
      <c r="IJ17" s="105">
        <v>0.248</v>
      </c>
      <c r="IK17" s="105">
        <v>0.25</v>
      </c>
      <c r="IL17" s="105">
        <v>0.248</v>
      </c>
      <c r="IM17" s="105">
        <v>0.246</v>
      </c>
      <c r="IN17" s="105">
        <v>0.246</v>
      </c>
      <c r="IO17" s="105">
        <v>0.245</v>
      </c>
      <c r="IP17" s="105">
        <v>0.245</v>
      </c>
      <c r="IQ17" s="105">
        <v>0.24399999999999999</v>
      </c>
      <c r="IR17" s="105">
        <v>0.245</v>
      </c>
      <c r="IS17" s="105">
        <v>0.246</v>
      </c>
      <c r="IT17" s="105">
        <v>0.245</v>
      </c>
      <c r="IU17" s="105">
        <v>0.24099999999999999</v>
      </c>
      <c r="IV17" s="105">
        <v>0.251</v>
      </c>
      <c r="IW17" s="105">
        <v>0.253</v>
      </c>
      <c r="IX17" s="105">
        <v>0.254</v>
      </c>
      <c r="IY17" s="105">
        <v>0.253</v>
      </c>
      <c r="IZ17" s="105">
        <v>0.25600000000000001</v>
      </c>
      <c r="JA17" s="105">
        <v>0.255</v>
      </c>
      <c r="JB17" s="105">
        <v>0.254</v>
      </c>
      <c r="JC17" s="105">
        <v>0.254</v>
      </c>
      <c r="JD17" s="105">
        <v>0.252</v>
      </c>
      <c r="JE17" s="105">
        <v>0.25</v>
      </c>
      <c r="JF17" s="105">
        <v>0.253</v>
      </c>
      <c r="JG17" s="105">
        <v>0.251</v>
      </c>
      <c r="JH17" s="105">
        <v>0.252</v>
      </c>
      <c r="JI17" s="105">
        <v>0.25</v>
      </c>
      <c r="JJ17" s="105">
        <v>0.25</v>
      </c>
      <c r="JK17" s="105">
        <v>0.249</v>
      </c>
      <c r="JL17" s="105">
        <v>0.255</v>
      </c>
      <c r="JM17" s="105">
        <v>0.255</v>
      </c>
      <c r="JN17" s="105">
        <v>0.255</v>
      </c>
      <c r="JO17" s="105">
        <v>0.25700000000000001</v>
      </c>
      <c r="JP17" s="105">
        <v>0.25600000000000001</v>
      </c>
      <c r="JQ17" s="105">
        <v>0.25600000000000001</v>
      </c>
      <c r="JR17" s="105">
        <v>0.25800000000000001</v>
      </c>
      <c r="JS17" s="105">
        <v>0.255</v>
      </c>
      <c r="JT17" s="105">
        <v>0.251</v>
      </c>
      <c r="JU17" s="105">
        <v>0.253</v>
      </c>
      <c r="JV17" s="105">
        <v>0.251</v>
      </c>
      <c r="JW17" s="105">
        <v>0.25</v>
      </c>
      <c r="JX17" s="105">
        <v>0.251</v>
      </c>
      <c r="JY17" s="105">
        <v>0.248</v>
      </c>
      <c r="JZ17" s="105">
        <v>0.25</v>
      </c>
      <c r="KA17" s="105">
        <v>0.249</v>
      </c>
      <c r="KB17" s="105">
        <v>0.25700000000000001</v>
      </c>
      <c r="KC17" s="105">
        <v>0.25600000000000001</v>
      </c>
      <c r="KD17" s="105">
        <v>0.26100000000000001</v>
      </c>
      <c r="KE17" s="105">
        <v>0.25900000000000001</v>
      </c>
      <c r="KF17" s="105">
        <v>0.25800000000000001</v>
      </c>
      <c r="KG17" s="105">
        <v>0.25600000000000001</v>
      </c>
      <c r="KH17" s="105">
        <v>0.25800000000000001</v>
      </c>
      <c r="KI17" s="105">
        <v>0.25900000000000001</v>
      </c>
      <c r="KJ17" s="105">
        <v>0.254</v>
      </c>
      <c r="KK17" s="105">
        <v>0.253</v>
      </c>
      <c r="KL17" s="105">
        <v>0.254</v>
      </c>
      <c r="KM17" s="105">
        <v>0.253</v>
      </c>
      <c r="KN17" s="105">
        <v>0.252</v>
      </c>
      <c r="KO17" s="105">
        <v>0.247</v>
      </c>
      <c r="KP17" s="105">
        <v>0.248</v>
      </c>
      <c r="KQ17" s="105">
        <v>0.249</v>
      </c>
      <c r="BXV17" s="107">
        <v>1</v>
      </c>
      <c r="BXW17" s="105" t="s">
        <v>155</v>
      </c>
      <c r="BXX17" s="105" t="s">
        <v>154</v>
      </c>
      <c r="BYA17" s="98">
        <v>0</v>
      </c>
      <c r="BYX17" s="105">
        <v>1</v>
      </c>
      <c r="BYY17" s="105">
        <v>4</v>
      </c>
      <c r="CAM17" s="105">
        <v>1</v>
      </c>
      <c r="CAN17" s="105">
        <v>4</v>
      </c>
      <c r="CAO17" s="105">
        <v>0</v>
      </c>
      <c r="CAP17" s="105">
        <v>0</v>
      </c>
      <c r="CAQ17" s="105">
        <v>0.23</v>
      </c>
    </row>
    <row r="18" spans="1:543 1998:2030 2067:2086">
      <c r="A18" s="103" t="s">
        <v>450</v>
      </c>
      <c r="B18" s="103">
        <v>8</v>
      </c>
      <c r="C18" s="103">
        <v>1</v>
      </c>
      <c r="D18" s="103">
        <v>2</v>
      </c>
      <c r="E18" s="103">
        <v>5</v>
      </c>
      <c r="F18" s="103" t="s">
        <v>447</v>
      </c>
      <c r="GY18" s="106" t="s">
        <v>406</v>
      </c>
      <c r="GZ18" s="105">
        <v>0.16</v>
      </c>
      <c r="HA18" s="105">
        <v>0.16200000000000001</v>
      </c>
      <c r="HB18" s="105">
        <v>0.161</v>
      </c>
      <c r="HC18" s="105">
        <v>0.161</v>
      </c>
      <c r="HD18" s="105">
        <v>0.16200000000000001</v>
      </c>
      <c r="HE18" s="105">
        <v>0.159</v>
      </c>
      <c r="HF18" s="105">
        <v>0.161</v>
      </c>
      <c r="HG18" s="105">
        <v>0.16300000000000001</v>
      </c>
      <c r="HH18" s="105">
        <v>0.158</v>
      </c>
      <c r="HI18" s="105">
        <v>0.158</v>
      </c>
      <c r="HJ18" s="105">
        <v>0.155</v>
      </c>
      <c r="HK18" s="105">
        <v>0.157</v>
      </c>
      <c r="HL18" s="105">
        <v>0.16400000000000001</v>
      </c>
      <c r="HM18" s="105">
        <v>0.16400000000000001</v>
      </c>
      <c r="HN18" s="105">
        <v>0.16500000000000001</v>
      </c>
      <c r="HO18" s="105">
        <v>0.16400000000000001</v>
      </c>
      <c r="HP18" s="105">
        <v>0.16900000000000001</v>
      </c>
      <c r="HQ18" s="105">
        <v>0.17</v>
      </c>
      <c r="HR18" s="105">
        <v>0.17</v>
      </c>
      <c r="HS18" s="105">
        <v>0.17100000000000001</v>
      </c>
      <c r="HT18" s="105">
        <v>0.16900000000000001</v>
      </c>
      <c r="HU18" s="105">
        <v>0.17199999999999999</v>
      </c>
      <c r="HV18" s="105">
        <v>0.17100000000000001</v>
      </c>
      <c r="HW18" s="105">
        <v>0.16800000000000001</v>
      </c>
      <c r="HX18" s="105">
        <v>0.16300000000000001</v>
      </c>
      <c r="HY18" s="105">
        <v>0.16400000000000001</v>
      </c>
      <c r="HZ18" s="105">
        <v>0.16400000000000001</v>
      </c>
      <c r="IA18" s="105">
        <v>0.16500000000000001</v>
      </c>
      <c r="IB18" s="105">
        <v>0.16900000000000001</v>
      </c>
      <c r="IC18" s="105">
        <v>0.17199999999999999</v>
      </c>
      <c r="ID18" s="105">
        <v>0.17199999999999999</v>
      </c>
      <c r="IE18" s="105">
        <v>0.17199999999999999</v>
      </c>
      <c r="IF18" s="105">
        <v>0.17699999999999999</v>
      </c>
      <c r="IG18" s="105">
        <v>0.17499999999999999</v>
      </c>
      <c r="IH18" s="105">
        <v>0.17799999999999999</v>
      </c>
      <c r="II18" s="105">
        <v>0.17499999999999999</v>
      </c>
      <c r="IJ18" s="105">
        <v>0.17100000000000001</v>
      </c>
      <c r="IK18" s="105">
        <v>0.17399999999999999</v>
      </c>
      <c r="IL18" s="105">
        <v>0.17399999999999999</v>
      </c>
      <c r="IM18" s="105">
        <v>0.17399999999999999</v>
      </c>
      <c r="IN18" s="105">
        <v>0.17100000000000001</v>
      </c>
      <c r="IO18" s="105">
        <v>0.17100000000000001</v>
      </c>
      <c r="IP18" s="105">
        <v>0.17399999999999999</v>
      </c>
      <c r="IQ18" s="105">
        <v>0.17</v>
      </c>
      <c r="IR18" s="105">
        <v>0.17499999999999999</v>
      </c>
      <c r="IS18" s="105">
        <v>0.17699999999999999</v>
      </c>
      <c r="IT18" s="105">
        <v>0.17799999999999999</v>
      </c>
      <c r="IU18" s="105">
        <v>0.17699999999999999</v>
      </c>
      <c r="IV18" s="105">
        <v>0.18</v>
      </c>
      <c r="IW18" s="105">
        <v>0.17799999999999999</v>
      </c>
      <c r="IX18" s="105">
        <v>0.18</v>
      </c>
      <c r="IY18" s="105">
        <v>0.183</v>
      </c>
      <c r="IZ18" s="105">
        <v>0.17799999999999999</v>
      </c>
      <c r="JA18" s="105">
        <v>0.17699999999999999</v>
      </c>
      <c r="JB18" s="105">
        <v>0.17899999999999999</v>
      </c>
      <c r="JC18" s="105">
        <v>0.18</v>
      </c>
      <c r="JD18" s="105">
        <v>0.182</v>
      </c>
      <c r="JE18" s="105">
        <v>0.18</v>
      </c>
      <c r="JF18" s="105">
        <v>0.18099999999999999</v>
      </c>
      <c r="JG18" s="105">
        <v>0.186</v>
      </c>
      <c r="JH18" s="105">
        <v>0.182</v>
      </c>
      <c r="JI18" s="105">
        <v>0.183</v>
      </c>
      <c r="JJ18" s="105">
        <v>0.186</v>
      </c>
      <c r="JK18" s="105">
        <v>0.187</v>
      </c>
      <c r="JL18" s="105">
        <v>0.183</v>
      </c>
      <c r="JM18" s="105">
        <v>0.182</v>
      </c>
      <c r="JN18" s="105">
        <v>0.183</v>
      </c>
      <c r="JO18" s="105">
        <v>0.18099999999999999</v>
      </c>
      <c r="JP18" s="105">
        <v>0.17599999999999999</v>
      </c>
      <c r="JQ18" s="105">
        <v>0.17799999999999999</v>
      </c>
      <c r="JR18" s="105">
        <v>0.17699999999999999</v>
      </c>
      <c r="JS18" s="105">
        <v>0.182</v>
      </c>
      <c r="JT18" s="105">
        <v>0.185</v>
      </c>
      <c r="JU18" s="105">
        <v>0.185</v>
      </c>
      <c r="JV18" s="105">
        <v>0.184</v>
      </c>
      <c r="JW18" s="105">
        <v>0.184</v>
      </c>
      <c r="JX18" s="105">
        <v>0.184</v>
      </c>
      <c r="JY18" s="105">
        <v>0.184</v>
      </c>
      <c r="JZ18" s="105">
        <v>0.185</v>
      </c>
      <c r="KA18" s="105">
        <v>0.186</v>
      </c>
      <c r="BXV18" s="107">
        <v>1</v>
      </c>
      <c r="BXW18" s="105" t="s">
        <v>155</v>
      </c>
      <c r="BXX18" s="105" t="s">
        <v>154</v>
      </c>
      <c r="BYA18" s="98">
        <v>0</v>
      </c>
      <c r="BYX18" s="105">
        <v>2</v>
      </c>
      <c r="BYY18" s="105">
        <v>4</v>
      </c>
      <c r="BYZ18" s="105">
        <v>4</v>
      </c>
      <c r="CAM18" s="105">
        <v>1</v>
      </c>
      <c r="CAN18" s="105">
        <v>4</v>
      </c>
      <c r="CAO18" s="105">
        <v>0</v>
      </c>
      <c r="CAP18" s="105">
        <v>0</v>
      </c>
      <c r="CAQ18" s="105">
        <v>0.28000000000000003</v>
      </c>
      <c r="CAR18" s="105">
        <v>5</v>
      </c>
      <c r="CAS18" s="105">
        <v>8</v>
      </c>
      <c r="CAT18" s="105">
        <v>0</v>
      </c>
      <c r="CAU18" s="105">
        <v>0</v>
      </c>
      <c r="CAV18" s="105">
        <v>0.28000000000000003</v>
      </c>
    </row>
    <row r="19" spans="1:543 1998:2030 2067:2086">
      <c r="A19" s="103" t="s">
        <v>394</v>
      </c>
      <c r="B19" s="103">
        <v>17</v>
      </c>
      <c r="C19" s="103">
        <v>1</v>
      </c>
      <c r="D19" s="103">
        <v>2</v>
      </c>
      <c r="E19" s="103">
        <v>9</v>
      </c>
      <c r="F19" s="103" t="s">
        <v>424</v>
      </c>
      <c r="GY19" s="106" t="s">
        <v>405</v>
      </c>
      <c r="GZ19" s="105">
        <v>0.29399999999999998</v>
      </c>
      <c r="HA19" s="105">
        <v>0.29299999999999998</v>
      </c>
      <c r="HB19" s="105">
        <v>0.29299999999999998</v>
      </c>
      <c r="HC19" s="105">
        <v>0.29299999999999998</v>
      </c>
      <c r="HD19" s="105">
        <v>0.28299999999999997</v>
      </c>
      <c r="HE19" s="105">
        <v>0.28299999999999997</v>
      </c>
      <c r="HF19" s="105">
        <v>0.28199999999999997</v>
      </c>
      <c r="HG19" s="105">
        <v>0.28299999999999997</v>
      </c>
      <c r="HH19" s="105">
        <v>0.313</v>
      </c>
      <c r="HI19" s="105">
        <v>0.313</v>
      </c>
      <c r="HJ19" s="105">
        <v>0.311</v>
      </c>
      <c r="HK19" s="105">
        <v>0.312</v>
      </c>
      <c r="HL19" s="105">
        <v>0.308</v>
      </c>
      <c r="HM19" s="105">
        <v>0.309</v>
      </c>
      <c r="HN19" s="105">
        <v>0.309</v>
      </c>
      <c r="HO19" s="105">
        <v>0.309</v>
      </c>
      <c r="HP19" s="105">
        <v>0.309</v>
      </c>
      <c r="HQ19" s="105">
        <v>0.311</v>
      </c>
      <c r="HR19" s="105">
        <v>0.311</v>
      </c>
      <c r="HS19" s="105">
        <v>0.31</v>
      </c>
      <c r="HT19" s="105">
        <v>0.311</v>
      </c>
      <c r="HU19" s="105">
        <v>0.30199999999999999</v>
      </c>
      <c r="HV19" s="105">
        <v>0.30299999999999999</v>
      </c>
      <c r="HW19" s="105">
        <v>0.30199999999999999</v>
      </c>
      <c r="HX19" s="105">
        <v>0.30199999999999999</v>
      </c>
      <c r="HY19" s="105">
        <v>0.33100000000000002</v>
      </c>
      <c r="HZ19" s="105">
        <v>0.32900000000000001</v>
      </c>
      <c r="IA19" s="105">
        <v>0.33100000000000002</v>
      </c>
      <c r="IB19" s="105">
        <v>0.32900000000000001</v>
      </c>
      <c r="IC19" s="105">
        <v>0.32400000000000001</v>
      </c>
      <c r="ID19" s="105">
        <v>0.32400000000000001</v>
      </c>
      <c r="IE19" s="105">
        <v>0.32300000000000001</v>
      </c>
      <c r="IF19" s="105">
        <v>0.32400000000000001</v>
      </c>
      <c r="IG19" s="105">
        <v>0.32300000000000001</v>
      </c>
      <c r="IH19" s="105">
        <v>0.32500000000000001</v>
      </c>
      <c r="II19" s="105">
        <v>0.32500000000000001</v>
      </c>
      <c r="IJ19" s="105">
        <v>0.32400000000000001</v>
      </c>
      <c r="IK19" s="105">
        <v>0.32400000000000001</v>
      </c>
      <c r="IL19" s="105">
        <v>0.317</v>
      </c>
      <c r="IM19" s="105">
        <v>0.315</v>
      </c>
      <c r="IN19" s="105">
        <v>0.316</v>
      </c>
      <c r="IO19" s="105">
        <v>0.315</v>
      </c>
      <c r="IP19" s="105">
        <v>0.34399999999999997</v>
      </c>
      <c r="IQ19" s="105">
        <v>0.34499999999999997</v>
      </c>
      <c r="IR19" s="105">
        <v>0.34399999999999997</v>
      </c>
      <c r="IS19" s="105">
        <v>0.34300000000000003</v>
      </c>
      <c r="IT19" s="105">
        <v>0.33800000000000002</v>
      </c>
      <c r="IU19" s="105">
        <v>0.33800000000000002</v>
      </c>
      <c r="IV19" s="105">
        <v>0.33800000000000002</v>
      </c>
      <c r="IW19" s="105">
        <v>0.33800000000000002</v>
      </c>
      <c r="IX19" s="105">
        <v>0.33700000000000002</v>
      </c>
      <c r="IY19" s="105">
        <v>0.33700000000000002</v>
      </c>
      <c r="IZ19" s="105">
        <v>0.33700000000000002</v>
      </c>
      <c r="JA19" s="105">
        <v>0.33700000000000002</v>
      </c>
      <c r="JB19" s="105">
        <v>0.33600000000000002</v>
      </c>
      <c r="JC19" s="105">
        <v>0.32800000000000001</v>
      </c>
      <c r="JD19" s="105">
        <v>0.32800000000000001</v>
      </c>
      <c r="JE19" s="105">
        <v>0.32800000000000001</v>
      </c>
      <c r="JF19" s="105">
        <v>0.32700000000000001</v>
      </c>
      <c r="JG19" s="105">
        <v>0.35899999999999999</v>
      </c>
      <c r="JH19" s="105">
        <v>0.35699999999999998</v>
      </c>
      <c r="JI19" s="105">
        <v>0.35599999999999998</v>
      </c>
      <c r="JJ19" s="105">
        <v>0.35399999999999998</v>
      </c>
      <c r="JK19" s="105">
        <v>0.35</v>
      </c>
      <c r="JL19" s="105">
        <v>0.35</v>
      </c>
      <c r="JM19" s="105">
        <v>0.35</v>
      </c>
      <c r="JN19" s="105">
        <v>0.34899999999999998</v>
      </c>
      <c r="JO19" s="105">
        <v>0.34699999999999998</v>
      </c>
      <c r="JP19" s="105">
        <v>0.34899999999999998</v>
      </c>
      <c r="JQ19" s="105">
        <v>0.34799999999999998</v>
      </c>
      <c r="JR19" s="105">
        <v>0.34799999999999998</v>
      </c>
      <c r="JS19" s="105">
        <v>0.34699999999999998</v>
      </c>
      <c r="JT19" s="105">
        <v>0.34</v>
      </c>
      <c r="JU19" s="105">
        <v>0.33900000000000002</v>
      </c>
      <c r="JV19" s="105">
        <v>0.33900000000000002</v>
      </c>
      <c r="JW19" s="105">
        <v>0.33900000000000002</v>
      </c>
      <c r="JX19" s="105">
        <v>0.37</v>
      </c>
      <c r="JY19" s="105">
        <v>0.36799999999999999</v>
      </c>
      <c r="JZ19" s="105">
        <v>0.36899999999999999</v>
      </c>
      <c r="KA19" s="105">
        <v>0.36699999999999999</v>
      </c>
      <c r="KB19" s="105">
        <v>0.36299999999999999</v>
      </c>
      <c r="KC19" s="105">
        <v>0.36299999999999999</v>
      </c>
      <c r="KD19" s="105">
        <v>0.36199999999999999</v>
      </c>
      <c r="KE19" s="105">
        <v>0.36199999999999999</v>
      </c>
      <c r="KF19" s="105">
        <v>0.36199999999999999</v>
      </c>
      <c r="KG19" s="105">
        <v>0.36099999999999999</v>
      </c>
      <c r="KH19" s="105">
        <v>0.36099999999999999</v>
      </c>
      <c r="KI19" s="105">
        <v>0.36</v>
      </c>
      <c r="KJ19" s="105">
        <v>0.35899999999999999</v>
      </c>
      <c r="KK19" s="105">
        <v>0.35199999999999998</v>
      </c>
      <c r="KL19" s="105">
        <v>0.35</v>
      </c>
      <c r="KM19" s="105">
        <v>0.34899999999999998</v>
      </c>
      <c r="KN19" s="105">
        <v>0.34799999999999998</v>
      </c>
      <c r="KO19" s="105">
        <v>0.38</v>
      </c>
      <c r="KP19" s="105">
        <v>0.38100000000000001</v>
      </c>
      <c r="KQ19" s="105">
        <v>0.38</v>
      </c>
      <c r="KR19" s="105">
        <v>0.378</v>
      </c>
      <c r="KS19" s="105">
        <v>0.372</v>
      </c>
      <c r="KT19" s="105">
        <v>0.373</v>
      </c>
      <c r="KU19" s="105">
        <v>0.374</v>
      </c>
      <c r="KV19" s="105">
        <v>0.374</v>
      </c>
      <c r="KW19" s="105">
        <v>0.373</v>
      </c>
      <c r="KX19" s="105">
        <v>0.372</v>
      </c>
      <c r="KY19" s="105">
        <v>0.373</v>
      </c>
      <c r="KZ19" s="105">
        <v>0.371</v>
      </c>
      <c r="LA19" s="105">
        <v>0.372</v>
      </c>
      <c r="LB19" s="105">
        <v>0.36399999999999999</v>
      </c>
      <c r="LC19" s="105">
        <v>0.36299999999999999</v>
      </c>
      <c r="LD19" s="105">
        <v>0.36399999999999999</v>
      </c>
      <c r="LE19" s="105">
        <v>0.36399999999999999</v>
      </c>
      <c r="LF19" s="105">
        <v>0.39300000000000002</v>
      </c>
      <c r="LG19" s="105">
        <v>0.39400000000000002</v>
      </c>
      <c r="LH19" s="105">
        <v>0.39300000000000002</v>
      </c>
      <c r="LI19" s="105">
        <v>0.39100000000000001</v>
      </c>
      <c r="LJ19" s="105">
        <v>0.38700000000000001</v>
      </c>
      <c r="LK19" s="105">
        <v>0.38700000000000001</v>
      </c>
      <c r="LL19" s="105">
        <v>0.38600000000000001</v>
      </c>
      <c r="LM19" s="105">
        <v>0.38700000000000001</v>
      </c>
      <c r="LN19" s="105">
        <v>0.38500000000000001</v>
      </c>
      <c r="LO19" s="105">
        <v>0.39500000000000002</v>
      </c>
      <c r="LP19" s="105">
        <v>0.38600000000000001</v>
      </c>
      <c r="LQ19" s="105">
        <v>0.38600000000000001</v>
      </c>
      <c r="LR19" s="105">
        <v>0.38400000000000001</v>
      </c>
      <c r="LS19" s="105">
        <v>0.377</v>
      </c>
      <c r="LT19" s="105">
        <v>0.378</v>
      </c>
      <c r="LU19" s="105">
        <v>0.377</v>
      </c>
      <c r="LV19" s="105">
        <v>0.375</v>
      </c>
      <c r="LW19" s="105">
        <v>0.40500000000000003</v>
      </c>
      <c r="LX19" s="105">
        <v>0.40500000000000003</v>
      </c>
      <c r="LY19" s="105">
        <v>0.40400000000000003</v>
      </c>
      <c r="LZ19" s="105">
        <v>0.40300000000000002</v>
      </c>
      <c r="MA19" s="105">
        <v>0.39800000000000002</v>
      </c>
      <c r="MB19" s="105">
        <v>0.39800000000000002</v>
      </c>
      <c r="MC19" s="105">
        <v>0.39900000000000002</v>
      </c>
      <c r="MD19" s="105">
        <v>0.39900000000000002</v>
      </c>
      <c r="ME19" s="105">
        <v>0.39700000000000002</v>
      </c>
      <c r="MF19" s="105">
        <v>0.39700000000000002</v>
      </c>
      <c r="MG19" s="105">
        <v>0.39900000000000002</v>
      </c>
      <c r="MH19" s="105">
        <v>0.39800000000000002</v>
      </c>
      <c r="MI19" s="105">
        <v>0.39900000000000002</v>
      </c>
      <c r="MJ19" s="105">
        <v>0.39100000000000001</v>
      </c>
      <c r="MK19" s="105">
        <v>0.39100000000000001</v>
      </c>
      <c r="ML19" s="105">
        <v>0.39100000000000001</v>
      </c>
      <c r="MM19" s="105">
        <v>0.38900000000000001</v>
      </c>
      <c r="MN19" s="105">
        <v>0.42</v>
      </c>
      <c r="MO19" s="105">
        <v>0.42</v>
      </c>
      <c r="MP19" s="105">
        <v>0.42099999999999999</v>
      </c>
      <c r="MQ19" s="105">
        <v>0.41799999999999998</v>
      </c>
      <c r="MR19" s="105">
        <v>0.41199999999999998</v>
      </c>
      <c r="MS19" s="105">
        <v>0.41299999999999998</v>
      </c>
      <c r="MT19" s="105">
        <v>0.41499999999999998</v>
      </c>
      <c r="MU19" s="105">
        <v>0.41399999999999998</v>
      </c>
      <c r="MV19" s="105">
        <v>0.41</v>
      </c>
      <c r="MW19" s="105">
        <v>0.27100000000000002</v>
      </c>
      <c r="MX19" s="105">
        <v>0.27300000000000002</v>
      </c>
      <c r="MY19" s="105">
        <v>0.27300000000000002</v>
      </c>
      <c r="MZ19" s="105">
        <v>0.27200000000000002</v>
      </c>
      <c r="NA19" s="105">
        <v>0.26500000000000001</v>
      </c>
      <c r="NB19" s="105">
        <v>0.26600000000000001</v>
      </c>
      <c r="NC19" s="105">
        <v>0.26400000000000001</v>
      </c>
      <c r="ND19" s="105">
        <v>0.26600000000000001</v>
      </c>
      <c r="NE19" s="105">
        <v>0.28899999999999998</v>
      </c>
      <c r="NF19" s="105">
        <v>0.28899999999999998</v>
      </c>
      <c r="NG19" s="105">
        <v>0.28799999999999998</v>
      </c>
      <c r="NH19" s="105">
        <v>0.28599999999999998</v>
      </c>
      <c r="NI19" s="105">
        <v>0.28599999999999998</v>
      </c>
      <c r="NJ19" s="105">
        <v>0.28699999999999998</v>
      </c>
      <c r="NK19" s="105">
        <v>0.28699999999999998</v>
      </c>
      <c r="NL19" s="105">
        <v>0.29599999999999999</v>
      </c>
      <c r="NM19" s="105">
        <v>0.28299999999999997</v>
      </c>
      <c r="NN19" s="105">
        <v>0.28299999999999997</v>
      </c>
      <c r="NO19" s="105">
        <v>0.28499999999999998</v>
      </c>
      <c r="NP19" s="105">
        <v>0.28699999999999998</v>
      </c>
      <c r="NQ19" s="105">
        <v>0.28599999999999998</v>
      </c>
      <c r="NR19" s="105">
        <v>0.27800000000000002</v>
      </c>
      <c r="NS19" s="105">
        <v>0.27800000000000002</v>
      </c>
      <c r="NT19" s="105">
        <v>0.27700000000000002</v>
      </c>
      <c r="NU19" s="105">
        <v>0.27800000000000002</v>
      </c>
      <c r="NV19" s="105">
        <v>0.30299999999999999</v>
      </c>
      <c r="NW19" s="105">
        <v>0.30199999999999999</v>
      </c>
      <c r="NX19" s="105">
        <v>0.3</v>
      </c>
      <c r="NY19" s="105">
        <v>0.3</v>
      </c>
      <c r="NZ19" s="105">
        <v>0.3</v>
      </c>
      <c r="OA19" s="105">
        <v>0.30099999999999999</v>
      </c>
      <c r="OB19" s="105">
        <v>0.30199999999999999</v>
      </c>
      <c r="OC19" s="105">
        <v>0.29899999999999999</v>
      </c>
      <c r="OD19" s="105">
        <v>0.29699999999999999</v>
      </c>
      <c r="OE19" s="105">
        <v>0.29599999999999999</v>
      </c>
      <c r="OF19" s="105">
        <v>0.3</v>
      </c>
      <c r="OG19" s="105">
        <v>0.3</v>
      </c>
      <c r="OH19" s="105">
        <v>0.3</v>
      </c>
      <c r="OI19" s="105">
        <v>0.28999999999999998</v>
      </c>
      <c r="OJ19" s="105">
        <v>0.29199999999999998</v>
      </c>
      <c r="OK19" s="105">
        <v>0.29199999999999998</v>
      </c>
      <c r="OL19" s="105">
        <v>0.29199999999999998</v>
      </c>
      <c r="OM19" s="105">
        <v>0.315</v>
      </c>
      <c r="ON19" s="105">
        <v>0.314</v>
      </c>
      <c r="OO19" s="105">
        <v>0.313</v>
      </c>
      <c r="OP19" s="105">
        <v>0.31</v>
      </c>
      <c r="OQ19" s="105">
        <v>0.31</v>
      </c>
      <c r="OR19" s="105">
        <v>0.312</v>
      </c>
      <c r="OS19" s="105">
        <v>0.313</v>
      </c>
      <c r="OT19" s="105">
        <v>0.311</v>
      </c>
      <c r="OU19" s="105">
        <v>0.309</v>
      </c>
      <c r="OV19" s="105">
        <v>0.309</v>
      </c>
      <c r="OW19" s="105">
        <v>0.311</v>
      </c>
      <c r="OX19" s="105">
        <v>0.313</v>
      </c>
      <c r="OY19" s="105">
        <v>0.313</v>
      </c>
      <c r="OZ19" s="105">
        <v>0.30299999999999999</v>
      </c>
      <c r="PA19" s="105">
        <v>0.30399999999999999</v>
      </c>
      <c r="PB19" s="105">
        <v>0.30099999999999999</v>
      </c>
      <c r="PC19" s="105">
        <v>0.30499999999999999</v>
      </c>
      <c r="PD19" s="105">
        <v>0.32700000000000001</v>
      </c>
      <c r="PE19" s="105">
        <v>0.32600000000000001</v>
      </c>
      <c r="PF19" s="105">
        <v>0.32500000000000001</v>
      </c>
      <c r="PG19" s="105">
        <v>0.32300000000000001</v>
      </c>
      <c r="PH19" s="105">
        <v>0.32400000000000001</v>
      </c>
      <c r="PI19" s="105">
        <v>0.32400000000000001</v>
      </c>
      <c r="PJ19" s="105">
        <v>0.32400000000000001</v>
      </c>
      <c r="PK19" s="105">
        <v>0.32300000000000001</v>
      </c>
      <c r="PL19" s="105">
        <v>0.31900000000000001</v>
      </c>
      <c r="PM19" s="105">
        <v>0.32200000000000001</v>
      </c>
      <c r="PN19" s="105">
        <v>0.32300000000000001</v>
      </c>
      <c r="PO19" s="105">
        <v>0.32500000000000001</v>
      </c>
      <c r="PP19" s="105">
        <v>0.32300000000000001</v>
      </c>
      <c r="PQ19" s="105">
        <v>0.315</v>
      </c>
      <c r="PR19" s="105">
        <v>0.316</v>
      </c>
      <c r="PS19" s="105">
        <v>0.313</v>
      </c>
      <c r="PT19" s="105">
        <v>0.317</v>
      </c>
      <c r="PU19" s="105">
        <v>0.34</v>
      </c>
      <c r="PV19" s="105">
        <v>0.33700000000000002</v>
      </c>
      <c r="PW19" s="105">
        <v>0.33700000000000002</v>
      </c>
      <c r="PX19" s="105">
        <v>0.33600000000000002</v>
      </c>
      <c r="PY19" s="105">
        <v>0.33700000000000002</v>
      </c>
      <c r="PZ19" s="105">
        <v>0.33800000000000002</v>
      </c>
      <c r="QA19" s="105">
        <v>0.33800000000000002</v>
      </c>
      <c r="QB19" s="105">
        <v>0.33500000000000002</v>
      </c>
      <c r="QC19" s="105">
        <v>0.33400000000000002</v>
      </c>
      <c r="QD19" s="105">
        <v>0.33400000000000002</v>
      </c>
      <c r="QE19" s="105">
        <v>0.33700000000000002</v>
      </c>
      <c r="QF19" s="105">
        <v>0.33600000000000002</v>
      </c>
      <c r="QG19" s="105">
        <v>0.33500000000000002</v>
      </c>
      <c r="QH19" s="105">
        <v>0.32700000000000001</v>
      </c>
      <c r="QI19" s="105">
        <v>0.32700000000000001</v>
      </c>
      <c r="QJ19" s="105">
        <v>0.33100000000000002</v>
      </c>
      <c r="QK19" s="105">
        <v>0.32800000000000001</v>
      </c>
      <c r="QL19" s="105">
        <v>0.34899999999999998</v>
      </c>
      <c r="QM19" s="105">
        <v>0.34799999999999998</v>
      </c>
      <c r="QN19" s="105">
        <v>0.34499999999999997</v>
      </c>
      <c r="QO19" s="105">
        <v>0.34599999999999997</v>
      </c>
      <c r="QP19" s="105">
        <v>0.34799999999999998</v>
      </c>
      <c r="QQ19" s="105">
        <v>0.34899999999999998</v>
      </c>
      <c r="QR19" s="105">
        <v>0.34699999999999998</v>
      </c>
      <c r="QS19" s="105">
        <v>0.34399999999999997</v>
      </c>
      <c r="QT19" s="105">
        <v>0.34499999999999997</v>
      </c>
      <c r="QU19" s="105">
        <v>0.34599999999999997</v>
      </c>
      <c r="QV19" s="105">
        <v>0.34799999999999998</v>
      </c>
      <c r="QW19" s="105">
        <v>0.34799999999999998</v>
      </c>
      <c r="QX19" s="105">
        <v>0.34899999999999998</v>
      </c>
      <c r="QY19" s="105">
        <v>0.34200000000000003</v>
      </c>
      <c r="QZ19" s="105">
        <v>0.33900000000000002</v>
      </c>
      <c r="RA19" s="105">
        <v>0.34200000000000003</v>
      </c>
      <c r="RB19" s="105">
        <v>0.34200000000000003</v>
      </c>
      <c r="RC19" s="105">
        <v>0.36099999999999999</v>
      </c>
      <c r="RD19" s="105">
        <v>0.36</v>
      </c>
      <c r="RE19" s="105">
        <v>0.35799999999999998</v>
      </c>
      <c r="RF19" s="105">
        <v>0.35899999999999999</v>
      </c>
      <c r="RG19" s="105">
        <v>0.36099999999999999</v>
      </c>
      <c r="RH19" s="105">
        <v>0.36199999999999999</v>
      </c>
      <c r="RI19" s="105">
        <v>0.36299999999999999</v>
      </c>
      <c r="RJ19" s="105">
        <v>0.35899999999999999</v>
      </c>
      <c r="RK19" s="105">
        <v>0.35799999999999998</v>
      </c>
      <c r="RL19" s="105">
        <v>0.35899999999999999</v>
      </c>
      <c r="RM19" s="105">
        <v>0.36299999999999999</v>
      </c>
      <c r="RN19" s="105">
        <v>0.36199999999999999</v>
      </c>
      <c r="RO19" s="105">
        <v>0.36199999999999999</v>
      </c>
      <c r="RP19" s="105">
        <v>0.35599999999999998</v>
      </c>
      <c r="RQ19" s="105">
        <v>0.35399999999999998</v>
      </c>
      <c r="RR19" s="105">
        <v>0.35499999999999998</v>
      </c>
      <c r="RS19" s="105">
        <v>0.35599999999999998</v>
      </c>
      <c r="RT19" s="105">
        <v>0.374</v>
      </c>
      <c r="RU19" s="105">
        <v>0.372</v>
      </c>
      <c r="RV19" s="105">
        <v>0.37</v>
      </c>
      <c r="RW19" s="105">
        <v>0.37</v>
      </c>
      <c r="RX19" s="105">
        <v>0.371</v>
      </c>
      <c r="RY19" s="105">
        <v>0.372</v>
      </c>
      <c r="RZ19" s="105">
        <v>0.371</v>
      </c>
      <c r="SA19" s="105">
        <v>0.36799999999999999</v>
      </c>
      <c r="SB19" s="105">
        <v>0.36899999999999999</v>
      </c>
      <c r="SC19" s="105">
        <v>0.372</v>
      </c>
      <c r="SD19" s="105">
        <v>0.376</v>
      </c>
      <c r="SE19" s="105">
        <v>0.374</v>
      </c>
      <c r="SF19" s="105">
        <v>0.375</v>
      </c>
      <c r="SG19" s="105">
        <v>0.36899999999999999</v>
      </c>
      <c r="SH19" s="105">
        <v>0.37</v>
      </c>
      <c r="SI19" s="105">
        <v>0.36899999999999999</v>
      </c>
      <c r="SJ19" s="105">
        <v>0.37</v>
      </c>
      <c r="SK19" s="105">
        <v>0.38700000000000001</v>
      </c>
      <c r="SL19" s="105">
        <v>0.38900000000000001</v>
      </c>
      <c r="SM19" s="105">
        <v>0.38300000000000001</v>
      </c>
      <c r="SN19" s="105">
        <v>0.38300000000000001</v>
      </c>
      <c r="SO19" s="105">
        <v>0.38600000000000001</v>
      </c>
      <c r="SP19" s="105">
        <v>0.38600000000000001</v>
      </c>
      <c r="SQ19" s="105">
        <v>0.38600000000000001</v>
      </c>
      <c r="SR19" s="105">
        <v>0.38300000000000001</v>
      </c>
      <c r="SS19" s="105">
        <v>0.38200000000000001</v>
      </c>
      <c r="BXV19" s="107">
        <v>1</v>
      </c>
      <c r="BXW19" s="105" t="s">
        <v>155</v>
      </c>
      <c r="BXX19" s="105" t="s">
        <v>154</v>
      </c>
      <c r="BYA19" s="98">
        <v>0</v>
      </c>
      <c r="BYX19" s="105">
        <v>2</v>
      </c>
      <c r="BYY19" s="105">
        <v>8</v>
      </c>
      <c r="BYZ19" s="105">
        <v>9</v>
      </c>
      <c r="CAM19" s="105">
        <v>1</v>
      </c>
      <c r="CAN19" s="105">
        <v>8</v>
      </c>
      <c r="CAO19" s="105">
        <v>0.105</v>
      </c>
      <c r="CAP19" s="105">
        <v>0</v>
      </c>
      <c r="CAQ19" s="105">
        <v>0.09</v>
      </c>
      <c r="CAR19" s="105">
        <v>9</v>
      </c>
      <c r="CAS19" s="105">
        <v>17</v>
      </c>
      <c r="CAT19" s="105">
        <v>0.15</v>
      </c>
      <c r="CAU19" s="105">
        <v>0</v>
      </c>
      <c r="CAV19" s="105">
        <v>0.09</v>
      </c>
    </row>
    <row r="20" spans="1:543 1998:2030 2067:2086">
      <c r="A20" s="103" t="s">
        <v>451</v>
      </c>
      <c r="B20" s="103">
        <v>17</v>
      </c>
      <c r="C20" s="103">
        <v>1</v>
      </c>
      <c r="D20" s="103">
        <v>1</v>
      </c>
      <c r="E20" s="103">
        <v>10</v>
      </c>
      <c r="F20" s="103" t="s">
        <v>424</v>
      </c>
      <c r="GY20" s="106" t="s">
        <v>452</v>
      </c>
      <c r="GZ20" s="105">
        <v>1.2030000000000001</v>
      </c>
      <c r="HA20" s="105">
        <v>1.204</v>
      </c>
      <c r="HB20" s="105">
        <v>1.2030000000000001</v>
      </c>
      <c r="HC20" s="105">
        <v>1.202</v>
      </c>
      <c r="HD20" s="105">
        <v>1.2030000000000001</v>
      </c>
      <c r="HE20" s="105">
        <v>1.236</v>
      </c>
      <c r="HF20" s="105">
        <v>1.2370000000000001</v>
      </c>
      <c r="HG20" s="105">
        <v>1.236</v>
      </c>
      <c r="HH20" s="105">
        <v>1.2370000000000001</v>
      </c>
      <c r="HI20" s="105">
        <v>1.24</v>
      </c>
      <c r="HJ20" s="105">
        <v>1.24</v>
      </c>
      <c r="HK20" s="105">
        <v>1.246</v>
      </c>
      <c r="HL20" s="105">
        <v>1.246</v>
      </c>
      <c r="HM20" s="105">
        <v>1.2470000000000001</v>
      </c>
      <c r="HN20" s="105">
        <v>1.2470000000000001</v>
      </c>
      <c r="HO20" s="105">
        <v>1.248</v>
      </c>
      <c r="HP20" s="105">
        <v>1.2490000000000001</v>
      </c>
      <c r="HQ20" s="105">
        <v>1.214</v>
      </c>
      <c r="HR20" s="105">
        <v>1.2130000000000001</v>
      </c>
      <c r="HS20" s="105">
        <v>1.214</v>
      </c>
      <c r="HT20" s="105">
        <v>1.214</v>
      </c>
      <c r="HU20" s="105">
        <v>1.2150000000000001</v>
      </c>
      <c r="HV20" s="105">
        <v>1.248</v>
      </c>
      <c r="HW20" s="105">
        <v>1.248</v>
      </c>
      <c r="HX20" s="105">
        <v>1.248</v>
      </c>
      <c r="HY20" s="105">
        <v>1.2490000000000001</v>
      </c>
      <c r="HZ20" s="105">
        <v>1.25</v>
      </c>
      <c r="IA20" s="105">
        <v>1.25</v>
      </c>
      <c r="IB20" s="105">
        <v>1.256</v>
      </c>
      <c r="IC20" s="105">
        <v>1.256</v>
      </c>
      <c r="ID20" s="105">
        <v>1.2569999999999999</v>
      </c>
      <c r="IE20" s="105">
        <v>1.2569999999999999</v>
      </c>
      <c r="IF20" s="105">
        <v>1.2589999999999999</v>
      </c>
      <c r="IG20" s="105">
        <v>1.26</v>
      </c>
      <c r="IH20" s="105">
        <v>1.2250000000000001</v>
      </c>
      <c r="II20" s="105">
        <v>1.2250000000000001</v>
      </c>
      <c r="IJ20" s="105">
        <v>1.226</v>
      </c>
      <c r="IK20" s="105">
        <v>1.2250000000000001</v>
      </c>
      <c r="IL20" s="105">
        <v>1.2250000000000001</v>
      </c>
      <c r="IM20" s="105">
        <v>1.2569999999999999</v>
      </c>
      <c r="IN20" s="105">
        <v>1.258</v>
      </c>
      <c r="IO20" s="105">
        <v>1.26</v>
      </c>
      <c r="IP20" s="105">
        <v>1.2589999999999999</v>
      </c>
      <c r="IQ20" s="105">
        <v>1.262</v>
      </c>
      <c r="IR20" s="105">
        <v>1.262</v>
      </c>
      <c r="IS20" s="105">
        <v>1.2669999999999999</v>
      </c>
      <c r="IT20" s="105">
        <v>1.2669999999999999</v>
      </c>
      <c r="IU20" s="105">
        <v>1.268</v>
      </c>
      <c r="IV20" s="105">
        <v>1.2689999999999999</v>
      </c>
      <c r="IW20" s="105">
        <v>1.2709999999999999</v>
      </c>
      <c r="IX20" s="105">
        <v>1.272</v>
      </c>
      <c r="IY20" s="105">
        <v>1.234</v>
      </c>
      <c r="IZ20" s="105">
        <v>1.234</v>
      </c>
      <c r="JA20" s="105">
        <v>1.234</v>
      </c>
      <c r="JB20" s="105">
        <v>1.2330000000000001</v>
      </c>
      <c r="JC20" s="105">
        <v>1.2350000000000001</v>
      </c>
      <c r="JD20" s="105">
        <v>1.2689999999999999</v>
      </c>
      <c r="JE20" s="105">
        <v>1.2689999999999999</v>
      </c>
      <c r="JF20" s="105">
        <v>1.27</v>
      </c>
      <c r="JG20" s="105">
        <v>1.2729999999999999</v>
      </c>
      <c r="JH20" s="105">
        <v>1.272</v>
      </c>
      <c r="JI20" s="105">
        <v>1.274</v>
      </c>
      <c r="JJ20" s="105">
        <v>1.2789999999999999</v>
      </c>
      <c r="JK20" s="105">
        <v>1.2789999999999999</v>
      </c>
      <c r="JL20" s="105">
        <v>1.2789999999999999</v>
      </c>
      <c r="JM20" s="105">
        <v>1.2809999999999999</v>
      </c>
      <c r="JN20" s="105">
        <v>1.2829999999999999</v>
      </c>
      <c r="JO20" s="105">
        <v>1.2809999999999999</v>
      </c>
      <c r="JP20" s="105">
        <v>1.2490000000000001</v>
      </c>
      <c r="JQ20" s="105">
        <v>1.2470000000000001</v>
      </c>
      <c r="JR20" s="105">
        <v>1.248</v>
      </c>
      <c r="JS20" s="105">
        <v>1.248</v>
      </c>
      <c r="JT20" s="105">
        <v>1.2490000000000001</v>
      </c>
      <c r="JU20" s="105">
        <v>1.282</v>
      </c>
      <c r="JV20" s="105">
        <v>1.2829999999999999</v>
      </c>
      <c r="JW20" s="105">
        <v>1.2829999999999999</v>
      </c>
      <c r="JX20" s="105">
        <v>1.286</v>
      </c>
      <c r="JY20" s="105">
        <v>1.2869999999999999</v>
      </c>
      <c r="JZ20" s="105">
        <v>1.288</v>
      </c>
      <c r="KA20" s="105">
        <v>1.294</v>
      </c>
      <c r="KB20" s="105">
        <v>1.294</v>
      </c>
      <c r="KC20" s="105">
        <v>1.2949999999999999</v>
      </c>
      <c r="KD20" s="105">
        <v>1.2929999999999999</v>
      </c>
      <c r="KE20" s="105">
        <v>1.2949999999999999</v>
      </c>
      <c r="KF20" s="105">
        <v>1.296</v>
      </c>
      <c r="KG20" s="105">
        <v>1.256</v>
      </c>
      <c r="KH20" s="105">
        <v>1.2549999999999999</v>
      </c>
      <c r="KI20" s="105">
        <v>1.2569999999999999</v>
      </c>
      <c r="KJ20" s="105">
        <v>1.256</v>
      </c>
      <c r="KK20" s="105">
        <v>1.256</v>
      </c>
      <c r="KL20" s="105">
        <v>1.2909999999999999</v>
      </c>
      <c r="KM20" s="105">
        <v>1.292</v>
      </c>
      <c r="KN20" s="105">
        <v>1.294</v>
      </c>
      <c r="KO20" s="105">
        <v>1.296</v>
      </c>
      <c r="KP20" s="105">
        <v>1.2949999999999999</v>
      </c>
      <c r="KQ20" s="105">
        <v>1.296</v>
      </c>
      <c r="KR20" s="105">
        <v>1.3</v>
      </c>
      <c r="KS20" s="105">
        <v>1.302</v>
      </c>
      <c r="KT20" s="105">
        <v>1.302</v>
      </c>
      <c r="KU20" s="105">
        <v>1.3049999999999999</v>
      </c>
      <c r="KV20" s="105">
        <v>1.306</v>
      </c>
      <c r="KW20" s="105">
        <v>1.304</v>
      </c>
      <c r="KX20" s="105">
        <v>1.27</v>
      </c>
      <c r="KY20" s="105">
        <v>1.2689999999999999</v>
      </c>
      <c r="KZ20" s="105">
        <v>1.27</v>
      </c>
      <c r="LA20" s="105">
        <v>1.27</v>
      </c>
      <c r="LB20" s="105">
        <v>1.2709999999999999</v>
      </c>
      <c r="LC20" s="105">
        <v>1.3049999999999999</v>
      </c>
      <c r="LD20" s="105">
        <v>1.306</v>
      </c>
      <c r="LE20" s="105">
        <v>1.306</v>
      </c>
      <c r="LF20" s="105">
        <v>1.31</v>
      </c>
      <c r="LG20" s="105">
        <v>1.3109999999999999</v>
      </c>
      <c r="LH20" s="105">
        <v>1.3109999999999999</v>
      </c>
      <c r="LI20" s="105">
        <v>1.3160000000000001</v>
      </c>
      <c r="LJ20" s="105">
        <v>1.3169999999999999</v>
      </c>
      <c r="LK20" s="105">
        <v>1.3169999999999999</v>
      </c>
      <c r="LL20" s="105">
        <v>1.319</v>
      </c>
      <c r="LM20" s="105">
        <v>1.32</v>
      </c>
      <c r="LN20" s="105">
        <v>1.32</v>
      </c>
      <c r="LO20" s="105">
        <v>1.278</v>
      </c>
      <c r="LP20" s="105">
        <v>1.2749999999999999</v>
      </c>
      <c r="LQ20" s="105">
        <v>1.278</v>
      </c>
      <c r="LR20" s="105">
        <v>1.278</v>
      </c>
      <c r="LS20" s="105">
        <v>1.278</v>
      </c>
      <c r="LT20" s="105">
        <v>1.3129999999999999</v>
      </c>
      <c r="LU20" s="105">
        <v>1.3129999999999999</v>
      </c>
      <c r="LV20" s="105">
        <v>1.3140000000000001</v>
      </c>
      <c r="LW20" s="105">
        <v>1.3169999999999999</v>
      </c>
      <c r="LX20" s="105">
        <v>1.3180000000000001</v>
      </c>
      <c r="LY20" s="105">
        <v>1.319</v>
      </c>
      <c r="LZ20" s="105">
        <v>1.323</v>
      </c>
      <c r="MA20" s="105">
        <v>1.3240000000000001</v>
      </c>
      <c r="MB20" s="105">
        <v>1.325</v>
      </c>
      <c r="MC20" s="105">
        <v>1.3260000000000001</v>
      </c>
      <c r="MD20" s="105">
        <v>1.3280000000000001</v>
      </c>
      <c r="ME20" s="105">
        <v>1.3260000000000001</v>
      </c>
      <c r="MF20" s="105">
        <v>1.29</v>
      </c>
      <c r="MG20" s="105">
        <v>1.292</v>
      </c>
      <c r="MH20" s="105">
        <v>1.292</v>
      </c>
      <c r="MI20" s="105">
        <v>1.2909999999999999</v>
      </c>
      <c r="MJ20" s="105">
        <v>1.292</v>
      </c>
      <c r="MK20" s="105">
        <v>1.327</v>
      </c>
      <c r="ML20" s="105">
        <v>1.3280000000000001</v>
      </c>
      <c r="MM20" s="105">
        <v>1.33</v>
      </c>
      <c r="MN20" s="105">
        <v>1.3320000000000001</v>
      </c>
      <c r="MO20" s="105">
        <v>1.333</v>
      </c>
      <c r="MP20" s="105">
        <v>1.3340000000000001</v>
      </c>
      <c r="MQ20" s="105">
        <v>1.3380000000000001</v>
      </c>
      <c r="MR20" s="105">
        <v>1.339</v>
      </c>
      <c r="MS20" s="105">
        <v>1.339</v>
      </c>
      <c r="MT20" s="105">
        <v>1.3420000000000001</v>
      </c>
      <c r="MU20" s="105">
        <v>1.343</v>
      </c>
      <c r="MV20" s="105">
        <v>1.341</v>
      </c>
      <c r="MW20" s="105">
        <v>1.2969999999999999</v>
      </c>
      <c r="MX20" s="105">
        <v>1.298</v>
      </c>
      <c r="MY20" s="105">
        <v>1.2989999999999999</v>
      </c>
      <c r="MZ20" s="105">
        <v>1.2989999999999999</v>
      </c>
      <c r="NA20" s="105">
        <v>1.2989999999999999</v>
      </c>
      <c r="NB20" s="105">
        <v>1.3320000000000001</v>
      </c>
      <c r="NC20" s="105">
        <v>1.335</v>
      </c>
      <c r="ND20" s="105">
        <v>1.335</v>
      </c>
      <c r="NE20" s="105">
        <v>1.3380000000000001</v>
      </c>
      <c r="NF20" s="105">
        <v>1.339</v>
      </c>
      <c r="NG20" s="105">
        <v>1.34</v>
      </c>
      <c r="NH20" s="105">
        <v>1.345</v>
      </c>
      <c r="NI20" s="105">
        <v>1.3460000000000001</v>
      </c>
      <c r="NJ20" s="105">
        <v>1.345</v>
      </c>
      <c r="NK20" s="105">
        <v>1.349</v>
      </c>
      <c r="NL20" s="105">
        <v>1.349</v>
      </c>
      <c r="NM20" s="105">
        <v>1.3480000000000001</v>
      </c>
      <c r="BXV20" s="107">
        <v>1</v>
      </c>
      <c r="BXW20" s="105" t="s">
        <v>155</v>
      </c>
      <c r="BXX20" s="105" t="s">
        <v>154</v>
      </c>
      <c r="BYA20" s="98">
        <v>0</v>
      </c>
      <c r="BYX20" s="105">
        <v>4</v>
      </c>
      <c r="BYY20" s="105">
        <v>4</v>
      </c>
      <c r="BYZ20" s="105">
        <v>1</v>
      </c>
      <c r="BZA20" s="105">
        <v>6</v>
      </c>
      <c r="BZB20" s="105">
        <v>6</v>
      </c>
      <c r="CAM20" s="105">
        <v>1</v>
      </c>
      <c r="CAN20" s="105">
        <v>4</v>
      </c>
      <c r="CAO20" s="105">
        <v>0.09</v>
      </c>
      <c r="CAP20" s="105">
        <v>0.01</v>
      </c>
      <c r="CAQ20" s="105">
        <v>0.17899999999999999</v>
      </c>
      <c r="CAR20" s="105">
        <v>5</v>
      </c>
      <c r="CAS20" s="105">
        <v>5</v>
      </c>
      <c r="CAT20" s="105">
        <v>0</v>
      </c>
      <c r="CAU20" s="105">
        <v>0.15</v>
      </c>
      <c r="CAV20" s="105">
        <v>0.26900000000000002</v>
      </c>
      <c r="CAW20" s="105">
        <v>6</v>
      </c>
      <c r="CAX20" s="105">
        <v>11</v>
      </c>
      <c r="CAY20" s="105">
        <v>0.09</v>
      </c>
      <c r="CAZ20" s="105">
        <v>0.01</v>
      </c>
      <c r="CBA20" s="105">
        <v>0.17899999999999999</v>
      </c>
      <c r="CBB20" s="105">
        <v>12</v>
      </c>
      <c r="CBC20" s="105">
        <v>17</v>
      </c>
      <c r="CBD20" s="105">
        <v>0.09</v>
      </c>
      <c r="CBE20" s="105">
        <v>0.01</v>
      </c>
      <c r="CBF20" s="105">
        <v>0.17899999999999999</v>
      </c>
    </row>
    <row r="21" spans="1:543 1998:2030 2067:2086">
      <c r="A21" s="103" t="s">
        <v>453</v>
      </c>
      <c r="B21" s="103">
        <v>3</v>
      </c>
      <c r="C21" s="103">
        <v>1</v>
      </c>
      <c r="D21" s="103">
        <v>1</v>
      </c>
      <c r="E21" s="103">
        <v>10</v>
      </c>
      <c r="F21" s="103" t="s">
        <v>424</v>
      </c>
      <c r="GY21" s="106" t="s">
        <v>452</v>
      </c>
      <c r="GZ21" s="105">
        <v>0.216</v>
      </c>
      <c r="HA21" s="105">
        <v>0.25</v>
      </c>
      <c r="HB21" s="105">
        <v>0.25900000000000001</v>
      </c>
      <c r="HC21" s="105">
        <v>0.224</v>
      </c>
      <c r="HD21" s="105">
        <v>0.25800000000000001</v>
      </c>
      <c r="HE21" s="105">
        <v>0.26800000000000002</v>
      </c>
      <c r="HF21" s="105">
        <v>0.23699999999999999</v>
      </c>
      <c r="HG21" s="105">
        <v>0.27300000000000002</v>
      </c>
      <c r="HH21" s="105">
        <v>0.28299999999999997</v>
      </c>
      <c r="HI21" s="105">
        <v>0.24399999999999999</v>
      </c>
      <c r="HJ21" s="105">
        <v>0.28199999999999997</v>
      </c>
      <c r="HK21" s="105">
        <v>0.29199999999999998</v>
      </c>
      <c r="HL21" s="105">
        <v>0.26200000000000001</v>
      </c>
      <c r="HM21" s="105">
        <v>0.29799999999999999</v>
      </c>
      <c r="HN21" s="105">
        <v>0.30599999999999999</v>
      </c>
      <c r="HO21" s="105">
        <v>0.27200000000000002</v>
      </c>
      <c r="HP21" s="105">
        <v>0.30599999999999999</v>
      </c>
      <c r="HQ21" s="105">
        <v>0.317</v>
      </c>
      <c r="HR21" s="105">
        <v>0.28599999999999998</v>
      </c>
      <c r="HS21" s="105">
        <v>0.32200000000000001</v>
      </c>
      <c r="HT21" s="105">
        <v>0.33300000000000002</v>
      </c>
      <c r="HU21" s="105">
        <v>0.29499999999999998</v>
      </c>
      <c r="HV21" s="105">
        <v>0.33200000000000002</v>
      </c>
      <c r="HW21" s="105">
        <v>0.34200000000000003</v>
      </c>
      <c r="HX21" s="105">
        <v>0.308</v>
      </c>
      <c r="HY21" s="105">
        <v>0.34599999999999997</v>
      </c>
      <c r="HZ21" s="105">
        <v>0.35599999999999998</v>
      </c>
      <c r="IA21" s="105">
        <v>0.317</v>
      </c>
      <c r="IB21" s="105">
        <v>0.35399999999999998</v>
      </c>
      <c r="IC21" s="105">
        <v>0.36499999999999999</v>
      </c>
      <c r="BXV21" s="107">
        <v>1</v>
      </c>
      <c r="BXW21" s="105" t="s">
        <v>155</v>
      </c>
      <c r="BXX21" s="105" t="s">
        <v>154</v>
      </c>
      <c r="BYA21" s="98">
        <v>0</v>
      </c>
      <c r="BYX21" s="105">
        <v>3</v>
      </c>
      <c r="BYY21" s="105">
        <v>1</v>
      </c>
      <c r="BYZ21" s="105">
        <v>1</v>
      </c>
      <c r="BZA21" s="105">
        <v>1</v>
      </c>
      <c r="CAM21" s="105">
        <v>1</v>
      </c>
      <c r="CAN21" s="105">
        <v>1</v>
      </c>
      <c r="CAO21" s="105">
        <v>0.09</v>
      </c>
      <c r="CAP21" s="105">
        <v>0.01</v>
      </c>
      <c r="CAQ21" s="105">
        <v>8.8999999999999996E-2</v>
      </c>
      <c r="CAR21" s="105">
        <v>2</v>
      </c>
      <c r="CAS21" s="105">
        <v>2</v>
      </c>
      <c r="CAT21" s="105">
        <v>0.09</v>
      </c>
      <c r="CAU21" s="105">
        <v>0.01</v>
      </c>
      <c r="CAV21" s="105">
        <v>8.8999999999999996E-2</v>
      </c>
      <c r="CAW21" s="105">
        <v>3</v>
      </c>
      <c r="CAX21" s="105">
        <v>3</v>
      </c>
      <c r="CAY21" s="105">
        <v>0.09</v>
      </c>
      <c r="CAZ21" s="105">
        <v>0.01</v>
      </c>
      <c r="CBA21" s="105">
        <v>8.8999999999999996E-2</v>
      </c>
    </row>
    <row r="22" spans="1:543 1998:2030 2067:2086">
      <c r="A22" s="103" t="s">
        <v>454</v>
      </c>
      <c r="B22" s="103">
        <v>2</v>
      </c>
      <c r="C22" s="103">
        <v>1</v>
      </c>
      <c r="D22" s="103">
        <v>4</v>
      </c>
      <c r="E22" s="103">
        <v>12</v>
      </c>
      <c r="F22" s="103" t="s">
        <v>424</v>
      </c>
      <c r="GY22" s="106" t="s">
        <v>455</v>
      </c>
      <c r="GZ22" s="105">
        <v>1.357</v>
      </c>
      <c r="HA22" s="105">
        <v>1.3580000000000001</v>
      </c>
      <c r="HB22" s="105">
        <v>1.36</v>
      </c>
      <c r="HC22" s="105">
        <v>1.36</v>
      </c>
      <c r="HD22" s="105">
        <v>1.361</v>
      </c>
      <c r="HE22" s="105">
        <v>1.359</v>
      </c>
      <c r="HF22" s="105">
        <v>1.359</v>
      </c>
      <c r="HG22" s="105">
        <v>1.359</v>
      </c>
      <c r="HH22" s="105">
        <v>1.357</v>
      </c>
      <c r="HI22" s="105">
        <v>1.3560000000000001</v>
      </c>
      <c r="HJ22" s="105">
        <v>1.3540000000000001</v>
      </c>
      <c r="HK22" s="105">
        <v>1.3540000000000001</v>
      </c>
      <c r="HL22" s="105">
        <v>1.351</v>
      </c>
      <c r="HM22" s="105">
        <v>1.35</v>
      </c>
      <c r="HN22" s="105">
        <v>1.3460000000000001</v>
      </c>
      <c r="HO22" s="105">
        <v>1.347</v>
      </c>
      <c r="HP22" s="105">
        <v>1.3440000000000001</v>
      </c>
      <c r="HQ22" s="105">
        <v>1.345</v>
      </c>
      <c r="HR22" s="105">
        <v>1.3440000000000001</v>
      </c>
      <c r="HS22" s="105">
        <v>1.343</v>
      </c>
      <c r="HT22" s="105">
        <v>1.34</v>
      </c>
      <c r="HU22" s="105">
        <v>1.341</v>
      </c>
      <c r="HV22" s="105">
        <v>1.337</v>
      </c>
      <c r="HW22" s="105">
        <v>1.339</v>
      </c>
      <c r="HX22" s="105">
        <v>1.339</v>
      </c>
      <c r="HY22" s="105">
        <v>1.339</v>
      </c>
      <c r="HZ22" s="105">
        <v>1.3440000000000001</v>
      </c>
      <c r="IA22" s="105">
        <v>1.3460000000000001</v>
      </c>
      <c r="IB22" s="105">
        <v>1.3480000000000001</v>
      </c>
      <c r="IC22" s="105">
        <v>1.347</v>
      </c>
      <c r="ID22" s="105">
        <v>1.3480000000000001</v>
      </c>
      <c r="IE22" s="105">
        <v>1.3480000000000001</v>
      </c>
      <c r="IF22" s="105">
        <v>1.3460000000000001</v>
      </c>
      <c r="IG22" s="105">
        <v>1.347</v>
      </c>
      <c r="IH22" s="105">
        <v>1.3460000000000001</v>
      </c>
      <c r="II22" s="105">
        <v>1.3460000000000001</v>
      </c>
      <c r="IJ22" s="105">
        <v>1.3420000000000001</v>
      </c>
      <c r="IK22" s="105">
        <v>1.343</v>
      </c>
      <c r="IL22" s="105">
        <v>1.341</v>
      </c>
      <c r="IM22" s="105">
        <v>1.341</v>
      </c>
      <c r="IN22" s="105">
        <v>1.341</v>
      </c>
      <c r="IO22" s="105">
        <v>1.34</v>
      </c>
      <c r="IP22" s="105">
        <v>1.337</v>
      </c>
      <c r="IQ22" s="105">
        <v>1.337</v>
      </c>
      <c r="IR22" s="105">
        <v>1.3340000000000001</v>
      </c>
      <c r="IS22" s="105">
        <v>1.3340000000000001</v>
      </c>
      <c r="IT22" s="105">
        <v>1.331</v>
      </c>
      <c r="IU22" s="105">
        <v>1.331</v>
      </c>
      <c r="IV22" s="105">
        <v>1.341</v>
      </c>
      <c r="IW22" s="105">
        <v>1.34</v>
      </c>
      <c r="IX22" s="105">
        <v>1.35</v>
      </c>
      <c r="IY22" s="105">
        <v>1.3460000000000001</v>
      </c>
      <c r="IZ22" s="105">
        <v>1.3480000000000001</v>
      </c>
      <c r="JA22" s="105">
        <v>1.3460000000000001</v>
      </c>
      <c r="JB22" s="105">
        <v>1.349</v>
      </c>
      <c r="JC22" s="105">
        <v>1.3480000000000001</v>
      </c>
      <c r="JD22" s="105">
        <v>1.347</v>
      </c>
      <c r="JE22" s="105">
        <v>1.347</v>
      </c>
      <c r="JF22" s="105">
        <v>1.347</v>
      </c>
      <c r="JG22" s="105">
        <v>1.347</v>
      </c>
      <c r="JH22" s="105">
        <v>1.343</v>
      </c>
      <c r="JI22" s="105">
        <v>1.3440000000000001</v>
      </c>
      <c r="JJ22" s="105">
        <v>1.3440000000000001</v>
      </c>
      <c r="JK22" s="105">
        <v>1.345</v>
      </c>
      <c r="JL22" s="105">
        <v>1.343</v>
      </c>
      <c r="JM22" s="105">
        <v>1.343</v>
      </c>
      <c r="JN22" s="105">
        <v>1.3420000000000001</v>
      </c>
      <c r="JO22" s="105">
        <v>1.3420000000000001</v>
      </c>
      <c r="JP22" s="105">
        <v>1.339</v>
      </c>
      <c r="JQ22" s="105">
        <v>1.339</v>
      </c>
      <c r="JR22" s="105">
        <v>1.337</v>
      </c>
      <c r="JS22" s="105">
        <v>1.3380000000000001</v>
      </c>
      <c r="JT22" s="105">
        <v>1.367</v>
      </c>
      <c r="JU22" s="105">
        <v>1.359</v>
      </c>
      <c r="JV22" s="105">
        <v>1.3620000000000001</v>
      </c>
      <c r="JW22" s="105">
        <v>1.3580000000000001</v>
      </c>
      <c r="JX22" s="105">
        <v>1.361</v>
      </c>
      <c r="JY22" s="105">
        <v>1.359</v>
      </c>
      <c r="JZ22" s="105">
        <v>1.3620000000000001</v>
      </c>
      <c r="KA22" s="105">
        <v>1.361</v>
      </c>
      <c r="KB22" s="105">
        <v>1.361</v>
      </c>
      <c r="KC22" s="105">
        <v>1.36</v>
      </c>
      <c r="KD22" s="105">
        <v>1.361</v>
      </c>
      <c r="KE22" s="105">
        <v>1.359</v>
      </c>
      <c r="KF22" s="105">
        <v>1.359</v>
      </c>
      <c r="KG22" s="105">
        <v>1.357</v>
      </c>
      <c r="KH22" s="105">
        <v>1.359</v>
      </c>
      <c r="KI22" s="105">
        <v>1.3580000000000001</v>
      </c>
      <c r="KJ22" s="105">
        <v>1.38</v>
      </c>
      <c r="KK22" s="105">
        <v>1.371</v>
      </c>
      <c r="KL22" s="105">
        <v>1.3740000000000001</v>
      </c>
      <c r="KM22" s="105">
        <v>1.369</v>
      </c>
      <c r="KN22" s="105">
        <v>1.375</v>
      </c>
      <c r="KO22" s="105">
        <v>1.3680000000000001</v>
      </c>
      <c r="KP22" s="105">
        <v>1.37</v>
      </c>
      <c r="KQ22" s="105">
        <v>1.3660000000000001</v>
      </c>
      <c r="BXV22" s="107">
        <v>1</v>
      </c>
      <c r="BXW22" s="105" t="s">
        <v>155</v>
      </c>
      <c r="BXX22" s="105" t="s">
        <v>154</v>
      </c>
      <c r="BYA22" s="98">
        <v>0</v>
      </c>
      <c r="BYX22" s="105">
        <v>1</v>
      </c>
      <c r="BYY22" s="105">
        <v>2</v>
      </c>
      <c r="CAM22" s="105">
        <v>1</v>
      </c>
      <c r="CAN22" s="105">
        <v>2</v>
      </c>
      <c r="CAO22" s="105">
        <v>0.105</v>
      </c>
      <c r="CAP22" s="105">
        <v>0.01</v>
      </c>
      <c r="CAQ22" s="105">
        <v>0.09</v>
      </c>
    </row>
    <row r="23" spans="1:543 1998:2030 2067:2086">
      <c r="A23" s="103" t="s">
        <v>456</v>
      </c>
      <c r="B23" s="103">
        <v>7</v>
      </c>
      <c r="C23" s="103">
        <v>1</v>
      </c>
      <c r="D23" s="103">
        <v>4</v>
      </c>
      <c r="E23" s="103">
        <v>12</v>
      </c>
      <c r="F23" s="103" t="s">
        <v>424</v>
      </c>
      <c r="GY23" s="106" t="s">
        <v>457</v>
      </c>
      <c r="GZ23" s="105">
        <v>0.16800000000000001</v>
      </c>
      <c r="HA23" s="105">
        <v>0.16500000000000001</v>
      </c>
      <c r="HB23" s="105">
        <v>0.16600000000000001</v>
      </c>
      <c r="HC23" s="105">
        <v>0.16500000000000001</v>
      </c>
      <c r="HD23" s="105">
        <v>0.16800000000000001</v>
      </c>
      <c r="HE23" s="105">
        <v>0.16800000000000001</v>
      </c>
      <c r="HF23" s="105">
        <v>0.16600000000000001</v>
      </c>
      <c r="HG23" s="105">
        <v>0.16400000000000001</v>
      </c>
      <c r="HH23" s="105">
        <v>0.16500000000000001</v>
      </c>
      <c r="HI23" s="105">
        <v>0.16600000000000001</v>
      </c>
      <c r="HJ23" s="105">
        <v>0.16600000000000001</v>
      </c>
      <c r="HK23" s="105">
        <v>0.16700000000000001</v>
      </c>
      <c r="HL23" s="105">
        <v>0.16500000000000001</v>
      </c>
      <c r="HM23" s="105">
        <v>0.16600000000000001</v>
      </c>
      <c r="HN23" s="105">
        <v>0.16</v>
      </c>
      <c r="HO23" s="105">
        <v>0.16200000000000001</v>
      </c>
      <c r="HP23" s="105">
        <v>0.16200000000000001</v>
      </c>
      <c r="HQ23" s="105">
        <v>0.16400000000000001</v>
      </c>
      <c r="HR23" s="105">
        <v>0.16600000000000001</v>
      </c>
      <c r="HS23" s="105">
        <v>0.16400000000000001</v>
      </c>
      <c r="HT23" s="105">
        <v>0.16400000000000001</v>
      </c>
      <c r="HU23" s="105">
        <v>0.16300000000000001</v>
      </c>
      <c r="HV23" s="105">
        <v>0.16200000000000001</v>
      </c>
      <c r="HW23" s="105">
        <v>0.16400000000000001</v>
      </c>
      <c r="HX23" s="105">
        <v>0.16400000000000001</v>
      </c>
      <c r="HY23" s="105">
        <v>0.16300000000000001</v>
      </c>
      <c r="HZ23" s="105">
        <v>0.16300000000000001</v>
      </c>
      <c r="IA23" s="105">
        <v>0.16300000000000001</v>
      </c>
      <c r="IB23" s="105">
        <v>0.16</v>
      </c>
      <c r="IC23" s="105">
        <v>0.159</v>
      </c>
      <c r="ID23" s="105">
        <v>0.16</v>
      </c>
      <c r="IE23" s="105">
        <v>0.16</v>
      </c>
      <c r="IF23" s="105">
        <v>0.16</v>
      </c>
      <c r="IG23" s="105">
        <v>0.161</v>
      </c>
      <c r="IH23" s="105">
        <v>0.16200000000000001</v>
      </c>
      <c r="II23" s="105">
        <v>0.156</v>
      </c>
      <c r="IJ23" s="105">
        <v>0.155</v>
      </c>
      <c r="IK23" s="105">
        <v>0.156</v>
      </c>
      <c r="IL23" s="105">
        <v>0.157</v>
      </c>
      <c r="IM23" s="105">
        <v>0.158</v>
      </c>
      <c r="IN23" s="105">
        <v>0.158</v>
      </c>
      <c r="IO23" s="105">
        <v>0.158</v>
      </c>
      <c r="IP23" s="105">
        <v>0.151</v>
      </c>
      <c r="IQ23" s="105">
        <v>0.152</v>
      </c>
      <c r="IR23" s="105">
        <v>0.152</v>
      </c>
      <c r="IS23" s="105">
        <v>0.152</v>
      </c>
      <c r="IT23" s="105">
        <v>0.153</v>
      </c>
      <c r="IU23" s="105">
        <v>0.154</v>
      </c>
      <c r="IV23" s="105">
        <v>0.153</v>
      </c>
      <c r="IW23" s="105">
        <v>0.151</v>
      </c>
      <c r="IX23" s="105">
        <v>0.14899999999999999</v>
      </c>
      <c r="IY23" s="105">
        <v>0.15</v>
      </c>
      <c r="IZ23" s="105">
        <v>0.15</v>
      </c>
      <c r="JA23" s="105">
        <v>0.151</v>
      </c>
      <c r="JB23" s="105">
        <v>0.151</v>
      </c>
      <c r="JC23" s="105">
        <v>0.151</v>
      </c>
      <c r="JD23" s="105">
        <v>0.14799999999999999</v>
      </c>
      <c r="JE23" s="105">
        <v>0.14599999999999999</v>
      </c>
      <c r="JF23" s="105">
        <v>0.14699999999999999</v>
      </c>
      <c r="JG23" s="105">
        <v>0.14699999999999999</v>
      </c>
      <c r="JH23" s="105">
        <v>0.14799999999999999</v>
      </c>
      <c r="JI23" s="105">
        <v>0.14799999999999999</v>
      </c>
      <c r="JJ23" s="105">
        <v>0.14899999999999999</v>
      </c>
      <c r="JK23" s="105">
        <v>0.14299999999999999</v>
      </c>
      <c r="JL23" s="105">
        <v>0.14199999999999999</v>
      </c>
      <c r="JM23" s="105">
        <v>0.14199999999999999</v>
      </c>
      <c r="JN23" s="105">
        <v>0.14299999999999999</v>
      </c>
      <c r="JO23" s="105">
        <v>0.14399999999999999</v>
      </c>
      <c r="JP23" s="105">
        <v>0.14399999999999999</v>
      </c>
      <c r="JQ23" s="105">
        <v>0.14399999999999999</v>
      </c>
      <c r="JR23" s="105">
        <v>0.13600000000000001</v>
      </c>
      <c r="JS23" s="105">
        <v>0.13600000000000001</v>
      </c>
      <c r="JT23" s="105">
        <v>0.13600000000000001</v>
      </c>
      <c r="JU23" s="105">
        <v>0.13700000000000001</v>
      </c>
      <c r="JV23" s="105">
        <v>0.13800000000000001</v>
      </c>
      <c r="JW23" s="105">
        <v>0.13900000000000001</v>
      </c>
      <c r="JX23" s="105">
        <v>0.13900000000000001</v>
      </c>
      <c r="JY23" s="105">
        <v>0.13400000000000001</v>
      </c>
      <c r="JZ23" s="105">
        <v>0.13400000000000001</v>
      </c>
      <c r="KA23" s="105">
        <v>0.13500000000000001</v>
      </c>
      <c r="KB23" s="105">
        <v>0.13500000000000001</v>
      </c>
      <c r="KC23" s="105">
        <v>0.13600000000000001</v>
      </c>
      <c r="KD23" s="105">
        <v>0.13700000000000001</v>
      </c>
      <c r="KE23" s="105">
        <v>0.13600000000000001</v>
      </c>
      <c r="KF23" s="105">
        <v>0.14299999999999999</v>
      </c>
      <c r="KG23" s="105">
        <v>0.14299999999999999</v>
      </c>
      <c r="KH23" s="105">
        <v>0.14399999999999999</v>
      </c>
      <c r="KI23" s="105">
        <v>0.14299999999999999</v>
      </c>
      <c r="KJ23" s="105">
        <v>0.14599999999999999</v>
      </c>
      <c r="KK23" s="105">
        <v>0.14599999999999999</v>
      </c>
      <c r="KL23" s="105">
        <v>0.14599999999999999</v>
      </c>
      <c r="KM23" s="105">
        <v>0.14599999999999999</v>
      </c>
      <c r="KN23" s="105">
        <v>0.14599999999999999</v>
      </c>
      <c r="KO23" s="105">
        <v>0.14699999999999999</v>
      </c>
      <c r="KP23" s="105">
        <v>0.14699999999999999</v>
      </c>
      <c r="KQ23" s="105">
        <v>0.14699999999999999</v>
      </c>
      <c r="KR23" s="105">
        <v>0.15</v>
      </c>
      <c r="KS23" s="105">
        <v>0.154</v>
      </c>
      <c r="KT23" s="105">
        <v>0.14399999999999999</v>
      </c>
      <c r="KU23" s="105">
        <v>0.14399999999999999</v>
      </c>
      <c r="KV23" s="105">
        <v>0.14599999999999999</v>
      </c>
      <c r="KW23" s="105">
        <v>0.14499999999999999</v>
      </c>
      <c r="KX23" s="105">
        <v>0.14699999999999999</v>
      </c>
      <c r="KY23" s="105">
        <v>0.14899999999999999</v>
      </c>
      <c r="KZ23" s="105">
        <v>0.151</v>
      </c>
      <c r="LA23" s="105">
        <v>0.14799999999999999</v>
      </c>
      <c r="LB23" s="105">
        <v>0.14799999999999999</v>
      </c>
      <c r="LC23" s="105">
        <v>0.14599999999999999</v>
      </c>
      <c r="LD23" s="105">
        <v>0.14699999999999999</v>
      </c>
      <c r="LE23" s="105">
        <v>0.14899999999999999</v>
      </c>
      <c r="LF23" s="105">
        <v>0.15</v>
      </c>
      <c r="LG23" s="105">
        <v>0.14899999999999999</v>
      </c>
      <c r="LH23" s="105">
        <v>0.14499999999999999</v>
      </c>
      <c r="LI23" s="105">
        <v>0.14599999999999999</v>
      </c>
      <c r="LJ23" s="105">
        <v>0.14599999999999999</v>
      </c>
      <c r="LK23" s="105">
        <v>0.14499999999999999</v>
      </c>
      <c r="LL23" s="105">
        <v>0.14599999999999999</v>
      </c>
      <c r="LM23" s="105">
        <v>0.14699999999999999</v>
      </c>
      <c r="LN23" s="105">
        <v>0.14799999999999999</v>
      </c>
      <c r="LO23" s="105">
        <v>0.14399999999999999</v>
      </c>
      <c r="LP23" s="105">
        <v>0.14299999999999999</v>
      </c>
      <c r="LQ23" s="105">
        <v>0.14199999999999999</v>
      </c>
      <c r="LR23" s="105">
        <v>0.14099999999999999</v>
      </c>
      <c r="LS23" s="105">
        <v>0.14399999999999999</v>
      </c>
      <c r="LT23" s="105">
        <v>0.14499999999999999</v>
      </c>
      <c r="LU23" s="105">
        <v>0.14499999999999999</v>
      </c>
      <c r="LV23" s="105">
        <v>0.13700000000000001</v>
      </c>
      <c r="LW23" s="105">
        <v>0.13800000000000001</v>
      </c>
      <c r="LX23" s="105">
        <v>0.13800000000000001</v>
      </c>
      <c r="LY23" s="105">
        <v>0.13800000000000001</v>
      </c>
      <c r="LZ23" s="105">
        <v>0.14000000000000001</v>
      </c>
      <c r="MA23" s="105">
        <v>0.14099999999999999</v>
      </c>
      <c r="MB23" s="105">
        <v>0.14099999999999999</v>
      </c>
      <c r="MC23" s="105">
        <v>0.13700000000000001</v>
      </c>
      <c r="MD23" s="105">
        <v>0.13700000000000001</v>
      </c>
      <c r="ME23" s="105">
        <v>0.13600000000000001</v>
      </c>
      <c r="MF23" s="105">
        <v>0.13600000000000001</v>
      </c>
      <c r="MG23" s="105">
        <v>0.13800000000000001</v>
      </c>
      <c r="MH23" s="105">
        <v>0.13900000000000001</v>
      </c>
      <c r="MI23" s="105">
        <v>0.14000000000000001</v>
      </c>
      <c r="MJ23" s="105">
        <v>0.13400000000000001</v>
      </c>
      <c r="MK23" s="105">
        <v>0.13300000000000001</v>
      </c>
      <c r="ML23" s="105">
        <v>0.13400000000000001</v>
      </c>
      <c r="MM23" s="105">
        <v>0.13400000000000001</v>
      </c>
      <c r="MN23" s="105">
        <v>0.13500000000000001</v>
      </c>
      <c r="MO23" s="105">
        <v>0.13600000000000001</v>
      </c>
      <c r="MP23" s="105">
        <v>0.13500000000000001</v>
      </c>
      <c r="MQ23" s="105">
        <v>0.128</v>
      </c>
      <c r="MR23" s="105">
        <v>0.128</v>
      </c>
      <c r="MS23" s="105">
        <v>0.129</v>
      </c>
      <c r="MT23" s="105">
        <v>0.13</v>
      </c>
      <c r="MU23" s="105">
        <v>0.13200000000000001</v>
      </c>
      <c r="MV23" s="105">
        <v>0.13200000000000001</v>
      </c>
      <c r="MW23" s="105">
        <v>0.13200000000000001</v>
      </c>
      <c r="MX23" s="105">
        <v>0.125</v>
      </c>
      <c r="MY23" s="105">
        <v>0.124</v>
      </c>
      <c r="MZ23" s="105">
        <v>0.126</v>
      </c>
      <c r="NA23" s="105">
        <v>0.123</v>
      </c>
      <c r="NB23" s="105">
        <v>0.127</v>
      </c>
      <c r="NC23" s="105">
        <v>0.128</v>
      </c>
      <c r="ND23" s="105">
        <v>0.128</v>
      </c>
      <c r="NE23" s="105">
        <v>0.123</v>
      </c>
      <c r="NF23" s="105">
        <v>0.122</v>
      </c>
      <c r="NG23" s="105">
        <v>0.123</v>
      </c>
      <c r="NH23" s="105">
        <v>0.122</v>
      </c>
      <c r="NI23" s="105">
        <v>0.125</v>
      </c>
      <c r="NJ23" s="105">
        <v>0.125</v>
      </c>
      <c r="NK23" s="105">
        <v>0.124</v>
      </c>
      <c r="NL23" s="105">
        <v>0.14299999999999999</v>
      </c>
      <c r="NM23" s="105">
        <v>0.14299999999999999</v>
      </c>
      <c r="NN23" s="105">
        <v>0.14199999999999999</v>
      </c>
      <c r="NO23" s="105">
        <v>0.14199999999999999</v>
      </c>
      <c r="NP23" s="105">
        <v>0.14399999999999999</v>
      </c>
      <c r="NQ23" s="105">
        <v>0.14399999999999999</v>
      </c>
      <c r="NR23" s="105">
        <v>0.14499999999999999</v>
      </c>
      <c r="NS23" s="105">
        <v>0.14499999999999999</v>
      </c>
      <c r="NT23" s="105">
        <v>0.14499999999999999</v>
      </c>
      <c r="NU23" s="105">
        <v>0.14399999999999999</v>
      </c>
      <c r="NV23" s="105">
        <v>0.14399999999999999</v>
      </c>
      <c r="NW23" s="105">
        <v>0.14499999999999999</v>
      </c>
      <c r="NX23" s="105">
        <v>0.14799999999999999</v>
      </c>
      <c r="NY23" s="105">
        <v>0.14699999999999999</v>
      </c>
      <c r="NZ23" s="105">
        <v>0.14399999999999999</v>
      </c>
      <c r="OA23" s="105">
        <v>0.14499999999999999</v>
      </c>
      <c r="OB23" s="105">
        <v>0.14299999999999999</v>
      </c>
      <c r="OC23" s="105">
        <v>0.14199999999999999</v>
      </c>
      <c r="OD23" s="105">
        <v>0.14499999999999999</v>
      </c>
      <c r="OE23" s="105">
        <v>0.14699999999999999</v>
      </c>
      <c r="OF23" s="105">
        <v>0.14599999999999999</v>
      </c>
      <c r="OG23" s="105">
        <v>0.14399999999999999</v>
      </c>
      <c r="OH23" s="105">
        <v>0.14399999999999999</v>
      </c>
      <c r="OI23" s="105">
        <v>0.14299999999999999</v>
      </c>
      <c r="OJ23" s="105">
        <v>0.14299999999999999</v>
      </c>
      <c r="OK23" s="105">
        <v>0.14499999999999999</v>
      </c>
      <c r="OL23" s="105">
        <v>0.14699999999999999</v>
      </c>
      <c r="OM23" s="105">
        <v>0.14599999999999999</v>
      </c>
      <c r="ON23" s="105">
        <v>0.14299999999999999</v>
      </c>
      <c r="OO23" s="105">
        <v>0.14299999999999999</v>
      </c>
      <c r="OP23" s="105">
        <v>0.14199999999999999</v>
      </c>
      <c r="OQ23" s="105">
        <v>0.14199999999999999</v>
      </c>
      <c r="OR23" s="105">
        <v>0.14399999999999999</v>
      </c>
      <c r="OS23" s="105">
        <v>0.14599999999999999</v>
      </c>
      <c r="OT23" s="105">
        <v>0.14599999999999999</v>
      </c>
      <c r="OU23" s="105">
        <v>0.14299999999999999</v>
      </c>
      <c r="OV23" s="105">
        <v>0.14299999999999999</v>
      </c>
      <c r="OW23" s="105">
        <v>0.14099999999999999</v>
      </c>
      <c r="OX23" s="105">
        <v>0.14099999999999999</v>
      </c>
      <c r="OY23" s="105">
        <v>0.14299999999999999</v>
      </c>
      <c r="OZ23" s="105">
        <v>0.14499999999999999</v>
      </c>
      <c r="PA23" s="105">
        <v>0.14399999999999999</v>
      </c>
      <c r="PB23" s="105">
        <v>0.13900000000000001</v>
      </c>
      <c r="PC23" s="105">
        <v>0.14099999999999999</v>
      </c>
      <c r="PD23" s="105">
        <v>0.13900000000000001</v>
      </c>
      <c r="PE23" s="105">
        <v>0.14000000000000001</v>
      </c>
      <c r="PF23" s="105">
        <v>0.14099999999999999</v>
      </c>
      <c r="PG23" s="105">
        <v>0.14299999999999999</v>
      </c>
      <c r="PH23" s="105">
        <v>0.14299999999999999</v>
      </c>
      <c r="PI23" s="105">
        <v>0.13900000000000001</v>
      </c>
      <c r="PJ23" s="105">
        <v>0.13800000000000001</v>
      </c>
      <c r="PK23" s="105">
        <v>0.13700000000000001</v>
      </c>
      <c r="PL23" s="105">
        <v>0.13700000000000001</v>
      </c>
      <c r="PM23" s="105">
        <v>0.13900000000000001</v>
      </c>
      <c r="PN23" s="105">
        <v>0.14099999999999999</v>
      </c>
      <c r="PO23" s="105">
        <v>0.14000000000000001</v>
      </c>
      <c r="PP23" s="105">
        <v>0.13700000000000001</v>
      </c>
      <c r="PQ23" s="105">
        <v>0.13700000000000001</v>
      </c>
      <c r="PR23" s="105">
        <v>0.13500000000000001</v>
      </c>
      <c r="PS23" s="105">
        <v>0.13600000000000001</v>
      </c>
      <c r="PT23" s="105">
        <v>0.13700000000000001</v>
      </c>
      <c r="PU23" s="105">
        <v>0.13900000000000001</v>
      </c>
      <c r="PV23" s="105">
        <v>0.13800000000000001</v>
      </c>
      <c r="PW23" s="105">
        <v>0.13600000000000001</v>
      </c>
      <c r="PX23" s="105">
        <v>0.13500000000000001</v>
      </c>
      <c r="PY23" s="105">
        <v>0.13200000000000001</v>
      </c>
      <c r="PZ23" s="105">
        <v>0.13300000000000001</v>
      </c>
      <c r="QA23" s="105">
        <v>0.13500000000000001</v>
      </c>
      <c r="QB23" s="105">
        <v>0.13700000000000001</v>
      </c>
      <c r="QC23" s="105">
        <v>0.13700000000000001</v>
      </c>
      <c r="QD23" s="105">
        <v>0.13100000000000001</v>
      </c>
      <c r="QE23" s="105">
        <v>0.13100000000000001</v>
      </c>
      <c r="QF23" s="105">
        <v>0.129</v>
      </c>
      <c r="QG23" s="105">
        <v>0.13</v>
      </c>
      <c r="QH23" s="105">
        <v>0.13100000000000001</v>
      </c>
      <c r="QI23" s="105">
        <v>0.13100000000000001</v>
      </c>
      <c r="QJ23" s="105">
        <v>0.13200000000000001</v>
      </c>
      <c r="QK23" s="105">
        <v>0.129</v>
      </c>
      <c r="QL23" s="105">
        <v>0.129</v>
      </c>
      <c r="QM23" s="105">
        <v>0.127</v>
      </c>
      <c r="QN23" s="105">
        <v>0.127</v>
      </c>
      <c r="QO23" s="105">
        <v>0.127</v>
      </c>
      <c r="QP23" s="105">
        <v>0.129</v>
      </c>
      <c r="QQ23" s="105">
        <v>0.129</v>
      </c>
      <c r="QR23" s="105">
        <v>0.161</v>
      </c>
      <c r="QS23" s="105">
        <v>0.17299999999999999</v>
      </c>
      <c r="QT23" s="105">
        <v>0.16800000000000001</v>
      </c>
      <c r="QU23" s="105">
        <v>0.159</v>
      </c>
      <c r="QV23" s="105">
        <v>0.157</v>
      </c>
      <c r="QW23" s="105">
        <v>0.156</v>
      </c>
      <c r="QX23" s="105">
        <v>0.154</v>
      </c>
      <c r="QY23" s="105">
        <v>0.16200000000000001</v>
      </c>
      <c r="QZ23" s="105">
        <v>0.161</v>
      </c>
      <c r="RA23" s="105">
        <v>0.158</v>
      </c>
      <c r="RB23" s="105">
        <v>0.157</v>
      </c>
      <c r="RC23" s="105">
        <v>0.156</v>
      </c>
      <c r="RD23" s="105">
        <v>0.158</v>
      </c>
      <c r="RE23" s="105">
        <v>0.154</v>
      </c>
      <c r="RF23" s="105">
        <v>0.16</v>
      </c>
      <c r="RG23" s="105">
        <v>0.158</v>
      </c>
      <c r="RH23" s="105">
        <v>0.155</v>
      </c>
      <c r="RI23" s="105">
        <v>0.156</v>
      </c>
      <c r="RJ23" s="105">
        <v>0.155</v>
      </c>
      <c r="RK23" s="105">
        <v>0.156</v>
      </c>
      <c r="RL23" s="105">
        <v>0.152</v>
      </c>
      <c r="RM23" s="105">
        <v>0.159</v>
      </c>
      <c r="RN23" s="105">
        <v>0.159</v>
      </c>
      <c r="RO23" s="105">
        <v>0.156</v>
      </c>
      <c r="RP23" s="105">
        <v>0.156</v>
      </c>
      <c r="RQ23" s="105">
        <v>0.155</v>
      </c>
      <c r="RR23" s="105">
        <v>0.156</v>
      </c>
      <c r="RS23" s="105">
        <v>0.153</v>
      </c>
      <c r="RT23" s="105">
        <v>0.159</v>
      </c>
      <c r="RU23" s="105">
        <v>0.158</v>
      </c>
      <c r="RV23" s="105">
        <v>0.155</v>
      </c>
      <c r="RW23" s="105">
        <v>0.155</v>
      </c>
      <c r="RX23" s="105">
        <v>0.154</v>
      </c>
      <c r="RY23" s="105">
        <v>0.154</v>
      </c>
      <c r="RZ23" s="105">
        <v>0.152</v>
      </c>
      <c r="SA23" s="105">
        <v>0.157</v>
      </c>
      <c r="SB23" s="105">
        <v>0.156</v>
      </c>
      <c r="SC23" s="105">
        <v>0.153</v>
      </c>
      <c r="SD23" s="105">
        <v>0.152</v>
      </c>
      <c r="SE23" s="105">
        <v>0.153</v>
      </c>
      <c r="SF23" s="105">
        <v>0.153</v>
      </c>
      <c r="SG23" s="105">
        <v>0.14899999999999999</v>
      </c>
      <c r="SH23" s="105">
        <v>0.156</v>
      </c>
      <c r="SI23" s="105">
        <v>0.155</v>
      </c>
      <c r="SJ23" s="105">
        <v>0.151</v>
      </c>
      <c r="SK23" s="105">
        <v>0.15</v>
      </c>
      <c r="SL23" s="105">
        <v>0.151</v>
      </c>
      <c r="SM23" s="105">
        <v>0.152</v>
      </c>
      <c r="SN23" s="105">
        <v>0.14799999999999999</v>
      </c>
      <c r="SO23" s="105">
        <v>0.155</v>
      </c>
      <c r="SP23" s="105">
        <v>0.153</v>
      </c>
      <c r="SQ23" s="105">
        <v>0.15</v>
      </c>
      <c r="SR23" s="105">
        <v>0.151</v>
      </c>
      <c r="SS23" s="105">
        <v>0.14899999999999999</v>
      </c>
      <c r="ST23" s="105">
        <v>0.15</v>
      </c>
      <c r="SU23" s="105">
        <v>0.14599999999999999</v>
      </c>
      <c r="SV23" s="105">
        <v>0.154</v>
      </c>
      <c r="SW23" s="105">
        <v>0.152</v>
      </c>
      <c r="SX23" s="105">
        <v>0.14799999999999999</v>
      </c>
      <c r="SY23" s="105">
        <v>0.15</v>
      </c>
      <c r="SZ23" s="105">
        <v>0.14899999999999999</v>
      </c>
      <c r="TA23" s="105">
        <v>0.151</v>
      </c>
      <c r="TB23" s="105">
        <v>0.14699999999999999</v>
      </c>
      <c r="TC23" s="105">
        <v>0.153</v>
      </c>
      <c r="TD23" s="105">
        <v>0.152</v>
      </c>
      <c r="TE23" s="105">
        <v>0.14799999999999999</v>
      </c>
      <c r="TF23" s="105">
        <v>0.14699999999999999</v>
      </c>
      <c r="TG23" s="105">
        <v>0.14699999999999999</v>
      </c>
      <c r="TH23" s="105">
        <v>0.14799999999999999</v>
      </c>
      <c r="TI23" s="105">
        <v>0.14399999999999999</v>
      </c>
      <c r="TJ23" s="105">
        <v>0.152</v>
      </c>
      <c r="TK23" s="105">
        <v>0.14899999999999999</v>
      </c>
      <c r="TL23" s="105">
        <v>0.14599999999999999</v>
      </c>
      <c r="TM23" s="105">
        <v>0.14399999999999999</v>
      </c>
      <c r="TN23" s="105">
        <v>0.14399999999999999</v>
      </c>
      <c r="TO23" s="105">
        <v>0.14499999999999999</v>
      </c>
      <c r="TP23" s="105">
        <v>0.14299999999999999</v>
      </c>
      <c r="TQ23" s="105">
        <v>0.151</v>
      </c>
      <c r="TR23" s="105">
        <v>0.14899999999999999</v>
      </c>
      <c r="TS23" s="105">
        <v>0.14499999999999999</v>
      </c>
      <c r="TT23" s="105">
        <v>0.14499999999999999</v>
      </c>
      <c r="TU23" s="105">
        <v>0.14399999999999999</v>
      </c>
      <c r="TV23" s="105">
        <v>0.14499999999999999</v>
      </c>
      <c r="TW23" s="105">
        <v>0.14099999999999999</v>
      </c>
      <c r="BXV23" s="107">
        <v>1</v>
      </c>
      <c r="BXW23" s="105" t="s">
        <v>155</v>
      </c>
      <c r="BXX23" s="105" t="s">
        <v>154</v>
      </c>
      <c r="BYA23" s="98">
        <v>0</v>
      </c>
      <c r="BYX23" s="105">
        <v>1</v>
      </c>
      <c r="BYY23" s="105">
        <v>7</v>
      </c>
      <c r="CAM23" s="105">
        <v>1</v>
      </c>
      <c r="CAN23" s="105">
        <v>7</v>
      </c>
      <c r="CAO23" s="105">
        <v>0.105</v>
      </c>
      <c r="CAP23" s="105">
        <v>0.01</v>
      </c>
      <c r="CAQ23" s="105">
        <v>0.09</v>
      </c>
    </row>
    <row r="24" spans="1:543 1998:2030 2067:2086">
      <c r="A24" s="103" t="s">
        <v>458</v>
      </c>
      <c r="B24" s="103">
        <v>1</v>
      </c>
      <c r="C24" s="103">
        <v>2</v>
      </c>
      <c r="D24" s="103">
        <v>9</v>
      </c>
      <c r="E24" s="103">
        <v>4</v>
      </c>
      <c r="F24" s="103" t="s">
        <v>447</v>
      </c>
      <c r="GY24" s="106" t="s">
        <v>459</v>
      </c>
      <c r="GZ24" s="105">
        <v>0.28799999999999998</v>
      </c>
      <c r="HA24" s="105">
        <v>0.28299999999999997</v>
      </c>
      <c r="HB24" s="105">
        <v>0.28599999999999998</v>
      </c>
      <c r="HC24" s="105">
        <v>0.29599999999999999</v>
      </c>
      <c r="HD24" s="105">
        <v>0.29299999999999998</v>
      </c>
      <c r="HE24" s="105">
        <v>0.29599999999999999</v>
      </c>
      <c r="HF24" s="105">
        <v>0.29599999999999999</v>
      </c>
      <c r="HG24" s="105">
        <v>0.29399999999999998</v>
      </c>
      <c r="HH24" s="105">
        <v>0.28899999999999998</v>
      </c>
      <c r="HI24" s="105">
        <v>0.28899999999999998</v>
      </c>
      <c r="HJ24" s="105">
        <v>0.28499999999999998</v>
      </c>
      <c r="HK24" s="105">
        <v>0.28899999999999998</v>
      </c>
      <c r="HL24" s="105">
        <v>0.29799999999999999</v>
      </c>
      <c r="HM24" s="105">
        <v>0.29699999999999999</v>
      </c>
      <c r="HN24" s="105">
        <v>0.30299999999999999</v>
      </c>
      <c r="HO24" s="105">
        <v>0.30199999999999999</v>
      </c>
      <c r="HP24" s="105">
        <v>0.29799999999999999</v>
      </c>
      <c r="HQ24" s="105">
        <v>0.29399999999999998</v>
      </c>
      <c r="HR24" s="105">
        <v>0.29199999999999998</v>
      </c>
      <c r="HS24" s="105">
        <v>0.28699999999999998</v>
      </c>
      <c r="HT24" s="105">
        <v>0.29199999999999998</v>
      </c>
      <c r="HU24" s="105">
        <v>0.30499999999999999</v>
      </c>
      <c r="HV24" s="105">
        <v>0.30199999999999999</v>
      </c>
      <c r="HW24" s="105">
        <v>0.30599999999999999</v>
      </c>
      <c r="HX24" s="105">
        <v>0.30599999999999999</v>
      </c>
      <c r="HY24" s="105">
        <v>0.30299999999999999</v>
      </c>
      <c r="HZ24" s="105">
        <v>0.29599999999999999</v>
      </c>
      <c r="IA24" s="105">
        <v>0.29199999999999998</v>
      </c>
      <c r="IB24" s="105">
        <v>0.28599999999999998</v>
      </c>
      <c r="IC24" s="105">
        <v>0.29299999999999998</v>
      </c>
      <c r="ID24" s="105">
        <v>0.30499999999999999</v>
      </c>
      <c r="IE24" s="105">
        <v>0.30299999999999999</v>
      </c>
      <c r="IF24" s="105">
        <v>0.307</v>
      </c>
      <c r="IG24" s="105">
        <v>0.309</v>
      </c>
      <c r="IH24" s="105">
        <v>0.30499999999999999</v>
      </c>
      <c r="II24" s="105">
        <v>0.30199999999999999</v>
      </c>
      <c r="BXV24" s="107">
        <v>1</v>
      </c>
      <c r="BXW24" s="105" t="s">
        <v>155</v>
      </c>
      <c r="BXX24" s="105" t="s">
        <v>154</v>
      </c>
      <c r="BYA24" s="98">
        <v>0</v>
      </c>
      <c r="BYD24" s="98">
        <v>0</v>
      </c>
      <c r="BYX24" s="105">
        <v>1</v>
      </c>
      <c r="BYY24" s="105">
        <v>1</v>
      </c>
      <c r="CAM24" s="105">
        <v>1</v>
      </c>
      <c r="CAN24" s="105">
        <v>1</v>
      </c>
      <c r="CAO24" s="105">
        <v>0</v>
      </c>
      <c r="CAP24" s="105">
        <v>0.01</v>
      </c>
      <c r="CAQ24" s="105">
        <v>0.23</v>
      </c>
    </row>
    <row r="25" spans="1:543 1998:2030 2067:2086">
      <c r="A25" s="103" t="s">
        <v>460</v>
      </c>
      <c r="B25" s="103">
        <v>2</v>
      </c>
      <c r="C25" s="103">
        <v>2</v>
      </c>
      <c r="D25" s="103">
        <v>5</v>
      </c>
      <c r="E25" s="103">
        <v>2</v>
      </c>
      <c r="F25" s="103" t="s">
        <v>447</v>
      </c>
      <c r="GY25" s="106" t="s">
        <v>459</v>
      </c>
      <c r="GZ25" s="105">
        <v>0.22700000000000001</v>
      </c>
      <c r="HA25" s="105">
        <v>0.23599999999999999</v>
      </c>
      <c r="HB25" s="105">
        <v>0.22700000000000001</v>
      </c>
      <c r="HC25" s="105">
        <v>0.22900000000000001</v>
      </c>
      <c r="HD25" s="105">
        <v>0.23400000000000001</v>
      </c>
      <c r="HE25" s="105">
        <v>0.24</v>
      </c>
      <c r="HF25" s="105">
        <v>0.23100000000000001</v>
      </c>
      <c r="HG25" s="105">
        <v>0.23899999999999999</v>
      </c>
      <c r="HH25" s="105">
        <v>0.22800000000000001</v>
      </c>
      <c r="HI25" s="105">
        <v>0.23899999999999999</v>
      </c>
      <c r="HJ25" s="105">
        <v>0.23300000000000001</v>
      </c>
      <c r="HK25" s="105">
        <v>0.23200000000000001</v>
      </c>
      <c r="HL25" s="105">
        <v>0.22700000000000001</v>
      </c>
      <c r="HM25" s="105">
        <v>0.22800000000000001</v>
      </c>
      <c r="HN25" s="105">
        <v>0.24099999999999999</v>
      </c>
      <c r="HO25" s="105">
        <v>0.23799999999999999</v>
      </c>
      <c r="HP25" s="105">
        <v>0.24099999999999999</v>
      </c>
      <c r="HQ25" s="105">
        <v>0.24199999999999999</v>
      </c>
      <c r="HR25" s="105">
        <v>0.23599999999999999</v>
      </c>
      <c r="HS25" s="105">
        <v>0.24299999999999999</v>
      </c>
      <c r="BXV25" s="107">
        <v>1</v>
      </c>
      <c r="BXW25" s="105" t="s">
        <v>155</v>
      </c>
      <c r="BXX25" s="105" t="s">
        <v>154</v>
      </c>
      <c r="BYA25" s="98">
        <v>0</v>
      </c>
      <c r="BYD25" s="98">
        <v>0</v>
      </c>
      <c r="BYX25" s="105">
        <v>2</v>
      </c>
      <c r="BYY25" s="105">
        <v>1</v>
      </c>
      <c r="BYZ25" s="105">
        <v>1</v>
      </c>
      <c r="CAM25" s="105">
        <v>1</v>
      </c>
      <c r="CAN25" s="105">
        <v>1</v>
      </c>
      <c r="CAO25" s="105">
        <v>0</v>
      </c>
      <c r="CAP25" s="105">
        <v>0.01</v>
      </c>
      <c r="CAQ25" s="105">
        <v>0.28000000000000003</v>
      </c>
      <c r="CAR25" s="105">
        <v>2</v>
      </c>
      <c r="CAS25" s="105">
        <v>2</v>
      </c>
      <c r="CAT25" s="105">
        <v>0</v>
      </c>
      <c r="CAU25" s="105">
        <v>0.01</v>
      </c>
      <c r="CAV25" s="105">
        <v>0.28000000000000003</v>
      </c>
    </row>
    <row r="26" spans="1:543 1998:2030 2067:2086">
      <c r="A26" s="103" t="s">
        <v>461</v>
      </c>
      <c r="B26" s="103">
        <v>2</v>
      </c>
      <c r="C26" s="103">
        <v>1</v>
      </c>
      <c r="D26" s="103">
        <v>10</v>
      </c>
      <c r="E26" s="103">
        <v>12</v>
      </c>
      <c r="F26" s="103" t="s">
        <v>424</v>
      </c>
      <c r="GY26" s="106" t="s">
        <v>462</v>
      </c>
      <c r="GZ26" s="105">
        <v>0.25</v>
      </c>
      <c r="HA26" s="105">
        <v>0.24299999999999999</v>
      </c>
      <c r="HB26" s="105">
        <v>0.249</v>
      </c>
      <c r="HC26" s="105">
        <v>0.246</v>
      </c>
      <c r="HD26" s="105">
        <v>0.26200000000000001</v>
      </c>
      <c r="HE26" s="105">
        <v>0.251</v>
      </c>
      <c r="HF26" s="105">
        <v>0.25900000000000001</v>
      </c>
      <c r="HG26" s="105">
        <v>0.255</v>
      </c>
      <c r="HH26" s="105">
        <v>0.26900000000000002</v>
      </c>
      <c r="HI26" s="105">
        <v>0.26500000000000001</v>
      </c>
      <c r="HJ26" s="105">
        <v>0.27300000000000002</v>
      </c>
      <c r="HK26" s="105">
        <v>0.27500000000000002</v>
      </c>
      <c r="HL26" s="105">
        <v>0.28000000000000003</v>
      </c>
      <c r="HM26" s="105">
        <v>0.27600000000000002</v>
      </c>
      <c r="HN26" s="105">
        <v>0.28100000000000003</v>
      </c>
      <c r="HO26" s="105">
        <v>0.28000000000000003</v>
      </c>
      <c r="HP26" s="105">
        <v>0.28899999999999998</v>
      </c>
      <c r="HQ26" s="105">
        <v>0.28499999999999998</v>
      </c>
      <c r="HR26" s="105">
        <v>0.29699999999999999</v>
      </c>
      <c r="HS26" s="105">
        <v>0.29199999999999998</v>
      </c>
      <c r="HT26" s="105">
        <v>0.23699999999999999</v>
      </c>
      <c r="HU26" s="105">
        <v>0.23200000000000001</v>
      </c>
      <c r="HV26" s="105">
        <v>0.24099999999999999</v>
      </c>
      <c r="HW26" s="105">
        <v>0.23599999999999999</v>
      </c>
      <c r="HX26" s="105">
        <v>0.246</v>
      </c>
      <c r="HY26" s="105">
        <v>0.24399999999999999</v>
      </c>
      <c r="HZ26" s="105">
        <v>0.254</v>
      </c>
      <c r="IA26" s="105">
        <v>0.248</v>
      </c>
      <c r="IB26" s="105">
        <v>0.26</v>
      </c>
      <c r="IC26" s="105">
        <v>0.255</v>
      </c>
      <c r="ID26" s="105">
        <v>0.26600000000000001</v>
      </c>
      <c r="IE26" s="105">
        <v>0.26200000000000001</v>
      </c>
      <c r="IF26" s="105">
        <v>0.27300000000000002</v>
      </c>
      <c r="IG26" s="105">
        <v>0.26800000000000002</v>
      </c>
      <c r="IH26" s="105">
        <v>0.27500000000000002</v>
      </c>
      <c r="II26" s="105">
        <v>0.27300000000000002</v>
      </c>
      <c r="IJ26" s="105">
        <v>0.28199999999999997</v>
      </c>
      <c r="IK26" s="105">
        <v>0.27700000000000002</v>
      </c>
      <c r="IL26" s="105">
        <v>0.28799999999999998</v>
      </c>
      <c r="IM26" s="105">
        <v>0.28499999999999998</v>
      </c>
      <c r="IN26" s="105">
        <v>0.22700000000000001</v>
      </c>
      <c r="IO26" s="105">
        <v>0.224</v>
      </c>
      <c r="IP26" s="105">
        <v>0.23100000000000001</v>
      </c>
      <c r="IQ26" s="105">
        <v>0.22800000000000001</v>
      </c>
      <c r="IR26" s="105">
        <v>0.23699999999999999</v>
      </c>
      <c r="IS26" s="105">
        <v>0.23599999999999999</v>
      </c>
      <c r="IT26" s="105">
        <v>0.245</v>
      </c>
      <c r="IU26" s="105">
        <v>0.24199999999999999</v>
      </c>
      <c r="IV26" s="105">
        <v>0.253</v>
      </c>
      <c r="IW26" s="105">
        <v>0.251</v>
      </c>
      <c r="IX26" s="105">
        <v>0.25900000000000001</v>
      </c>
      <c r="IY26" s="105">
        <v>0.255</v>
      </c>
      <c r="IZ26" s="105">
        <v>0.26600000000000001</v>
      </c>
      <c r="JA26" s="105">
        <v>0.26300000000000001</v>
      </c>
      <c r="JB26" s="105">
        <v>0.26800000000000002</v>
      </c>
      <c r="JC26" s="105">
        <v>0.26700000000000002</v>
      </c>
      <c r="JD26" s="105">
        <v>0.27500000000000002</v>
      </c>
      <c r="JE26" s="105">
        <v>0.27200000000000002</v>
      </c>
      <c r="JF26" s="105">
        <v>0.27900000000000003</v>
      </c>
      <c r="JG26" s="105">
        <v>0.27800000000000002</v>
      </c>
      <c r="JH26" s="105">
        <v>0.22</v>
      </c>
      <c r="JI26" s="105">
        <v>0.216</v>
      </c>
      <c r="JJ26" s="105">
        <v>0.224</v>
      </c>
      <c r="JK26" s="105">
        <v>0.22</v>
      </c>
      <c r="JL26" s="105">
        <v>0.23</v>
      </c>
      <c r="JM26" s="105">
        <v>0.23200000000000001</v>
      </c>
      <c r="JN26" s="105">
        <v>0.23799999999999999</v>
      </c>
      <c r="JO26" s="105">
        <v>0.23400000000000001</v>
      </c>
      <c r="JP26" s="105">
        <v>0.24399999999999999</v>
      </c>
      <c r="JQ26" s="105">
        <v>0.24099999999999999</v>
      </c>
      <c r="JR26" s="105">
        <v>0.251</v>
      </c>
      <c r="JS26" s="105">
        <v>0.248</v>
      </c>
      <c r="JT26" s="105">
        <v>0.255</v>
      </c>
      <c r="JU26" s="105">
        <v>0.254</v>
      </c>
      <c r="JV26" s="105">
        <v>0.26</v>
      </c>
      <c r="JW26" s="105">
        <v>0.25800000000000001</v>
      </c>
      <c r="JX26" s="105">
        <v>0.26600000000000001</v>
      </c>
      <c r="JY26" s="105">
        <v>0.26100000000000001</v>
      </c>
      <c r="JZ26" s="105">
        <v>0.27100000000000002</v>
      </c>
      <c r="KA26" s="105">
        <v>0.26900000000000002</v>
      </c>
      <c r="KB26" s="105">
        <v>0.21199999999999999</v>
      </c>
      <c r="KC26" s="105">
        <v>0.20799999999999999</v>
      </c>
      <c r="KD26" s="105">
        <v>0.215</v>
      </c>
      <c r="KE26" s="105">
        <v>0.21099999999999999</v>
      </c>
      <c r="KF26" s="105">
        <v>0.224</v>
      </c>
      <c r="KG26" s="105">
        <v>0.219</v>
      </c>
      <c r="KH26" s="105">
        <v>0.22800000000000001</v>
      </c>
      <c r="KI26" s="105">
        <v>0.224</v>
      </c>
      <c r="KJ26" s="105">
        <v>0.23599999999999999</v>
      </c>
      <c r="KK26" s="105">
        <v>0.23300000000000001</v>
      </c>
      <c r="KL26" s="105">
        <v>0.24299999999999999</v>
      </c>
      <c r="KM26" s="105">
        <v>0.23899999999999999</v>
      </c>
      <c r="KN26" s="105">
        <v>0.25</v>
      </c>
      <c r="KO26" s="105">
        <v>0.246</v>
      </c>
      <c r="KP26" s="105">
        <v>0.254</v>
      </c>
      <c r="KQ26" s="105">
        <v>0.25</v>
      </c>
      <c r="KR26" s="105">
        <v>0.25800000000000001</v>
      </c>
      <c r="KS26" s="105">
        <v>0.254</v>
      </c>
      <c r="KT26" s="105">
        <v>0.26400000000000001</v>
      </c>
      <c r="KU26" s="105">
        <v>0.26</v>
      </c>
      <c r="KV26" s="105">
        <v>0.20499999999999999</v>
      </c>
      <c r="KW26" s="105">
        <v>0.20499999999999999</v>
      </c>
      <c r="KX26" s="105">
        <v>0.20799999999999999</v>
      </c>
      <c r="KY26" s="105">
        <v>0.20899999999999999</v>
      </c>
      <c r="KZ26" s="105">
        <v>0.215</v>
      </c>
      <c r="LA26" s="105">
        <v>0.216</v>
      </c>
      <c r="LB26" s="105">
        <v>0.219</v>
      </c>
      <c r="LC26" s="105">
        <v>0.22</v>
      </c>
      <c r="LD26" s="105">
        <v>0.22800000000000001</v>
      </c>
      <c r="LE26" s="105">
        <v>0.22800000000000001</v>
      </c>
      <c r="LF26" s="105">
        <v>0.23400000000000001</v>
      </c>
      <c r="LG26" s="105">
        <v>0.23499999999999999</v>
      </c>
      <c r="LH26" s="105">
        <v>0.24099999999999999</v>
      </c>
      <c r="LI26" s="105">
        <v>0.24099999999999999</v>
      </c>
      <c r="LJ26" s="105">
        <v>0.245</v>
      </c>
      <c r="LK26" s="105">
        <v>0.245</v>
      </c>
      <c r="LL26" s="105">
        <v>0.25</v>
      </c>
      <c r="LM26" s="105">
        <v>0.251</v>
      </c>
      <c r="LN26" s="105">
        <v>0.255</v>
      </c>
      <c r="LO26" s="105">
        <v>0.25700000000000001</v>
      </c>
      <c r="LP26" s="105">
        <v>0.20599999999999999</v>
      </c>
      <c r="LQ26" s="105">
        <v>0.20499999999999999</v>
      </c>
      <c r="LR26" s="105">
        <v>0.20799999999999999</v>
      </c>
      <c r="LS26" s="105">
        <v>0.20799999999999999</v>
      </c>
      <c r="LT26" s="105">
        <v>0.215</v>
      </c>
      <c r="LU26" s="105">
        <v>0.214</v>
      </c>
      <c r="LV26" s="105">
        <v>0.219</v>
      </c>
      <c r="LW26" s="105">
        <v>0.22</v>
      </c>
      <c r="LX26" s="105">
        <v>0.22600000000000001</v>
      </c>
      <c r="LY26" s="105">
        <v>0.22500000000000001</v>
      </c>
      <c r="LZ26" s="105">
        <v>0.23300000000000001</v>
      </c>
      <c r="MA26" s="105">
        <v>0.23400000000000001</v>
      </c>
      <c r="MB26" s="105">
        <v>0.24</v>
      </c>
      <c r="MC26" s="105">
        <v>0.23899999999999999</v>
      </c>
      <c r="MD26" s="105">
        <v>0.24399999999999999</v>
      </c>
      <c r="ME26" s="105">
        <v>0.24399999999999999</v>
      </c>
      <c r="MF26" s="105">
        <v>0.25</v>
      </c>
      <c r="MG26" s="105">
        <v>0.249</v>
      </c>
      <c r="MH26" s="105">
        <v>0.25600000000000001</v>
      </c>
      <c r="MI26" s="105">
        <v>0.25600000000000001</v>
      </c>
      <c r="MJ26" s="105">
        <v>0.20399999999999999</v>
      </c>
      <c r="MK26" s="105">
        <v>0.20100000000000001</v>
      </c>
      <c r="ML26" s="105">
        <v>0.20599999999999999</v>
      </c>
      <c r="MM26" s="105">
        <v>0.20300000000000001</v>
      </c>
      <c r="MN26" s="105">
        <v>0.21199999999999999</v>
      </c>
      <c r="MO26" s="105">
        <v>0.20899999999999999</v>
      </c>
      <c r="MP26" s="105">
        <v>0.217</v>
      </c>
      <c r="MQ26" s="105">
        <v>0.21199999999999999</v>
      </c>
      <c r="MR26" s="105">
        <v>0.223</v>
      </c>
      <c r="MS26" s="105">
        <v>0.221</v>
      </c>
      <c r="MT26" s="105">
        <v>0.23</v>
      </c>
      <c r="MU26" s="105">
        <v>0.22600000000000001</v>
      </c>
      <c r="MV26" s="105">
        <v>0.23699999999999999</v>
      </c>
      <c r="MW26" s="105">
        <v>0.23200000000000001</v>
      </c>
      <c r="MX26" s="105">
        <v>0.24199999999999999</v>
      </c>
      <c r="MY26" s="105">
        <v>0.23699999999999999</v>
      </c>
      <c r="MZ26" s="105">
        <v>0.247</v>
      </c>
      <c r="NA26" s="105">
        <v>0.24299999999999999</v>
      </c>
      <c r="NB26" s="105">
        <v>0.253</v>
      </c>
      <c r="NC26" s="105">
        <v>0.248</v>
      </c>
      <c r="ND26" s="105">
        <v>0.192</v>
      </c>
      <c r="NE26" s="105">
        <v>0.19700000000000001</v>
      </c>
      <c r="NF26" s="105">
        <v>0.19800000000000001</v>
      </c>
      <c r="NG26" s="105">
        <v>0.2</v>
      </c>
      <c r="NH26" s="105">
        <v>0.19800000000000001</v>
      </c>
      <c r="NI26" s="105">
        <v>0.20499999999999999</v>
      </c>
      <c r="NJ26" s="105">
        <v>0.20599999999999999</v>
      </c>
      <c r="NK26" s="105">
        <v>0.21</v>
      </c>
      <c r="NL26" s="105">
        <v>0.21099999999999999</v>
      </c>
      <c r="NM26" s="105">
        <v>0.21299999999999999</v>
      </c>
      <c r="NN26" s="105">
        <v>0.219</v>
      </c>
      <c r="NO26" s="105">
        <v>0.221</v>
      </c>
      <c r="NP26" s="105">
        <v>0.223</v>
      </c>
      <c r="NQ26" s="105">
        <v>0.224</v>
      </c>
      <c r="NR26" s="105">
        <v>0.23</v>
      </c>
      <c r="NS26" s="105">
        <v>0.23300000000000001</v>
      </c>
      <c r="NT26" s="105">
        <v>0.23400000000000001</v>
      </c>
      <c r="NU26" s="105">
        <v>0.23799999999999999</v>
      </c>
      <c r="NV26" s="105">
        <v>0.24299999999999999</v>
      </c>
      <c r="NW26" s="105">
        <v>0.246</v>
      </c>
      <c r="NX26" s="105">
        <v>0.20599999999999999</v>
      </c>
      <c r="NY26" s="105">
        <v>0.21099999999999999</v>
      </c>
      <c r="NZ26" s="105">
        <v>0.20699999999999999</v>
      </c>
      <c r="OA26" s="105">
        <v>0.21299999999999999</v>
      </c>
      <c r="OB26" s="105">
        <v>0.21199999999999999</v>
      </c>
      <c r="OC26" s="105">
        <v>0.217</v>
      </c>
      <c r="OD26" s="105">
        <v>0.216</v>
      </c>
      <c r="OE26" s="105">
        <v>0.217</v>
      </c>
      <c r="OF26" s="105">
        <v>0.221</v>
      </c>
      <c r="OG26" s="105">
        <v>0.22600000000000001</v>
      </c>
      <c r="OH26" s="105">
        <v>0.22600000000000001</v>
      </c>
      <c r="OI26" s="105">
        <v>0.22900000000000001</v>
      </c>
      <c r="OJ26" s="105">
        <v>0.23100000000000001</v>
      </c>
      <c r="OK26" s="105">
        <v>0.23499999999999999</v>
      </c>
      <c r="OL26" s="105">
        <v>0.23699999999999999</v>
      </c>
      <c r="OM26" s="105">
        <v>0.24199999999999999</v>
      </c>
      <c r="ON26" s="105">
        <v>0.245</v>
      </c>
      <c r="OO26" s="105">
        <v>0.248</v>
      </c>
      <c r="OP26" s="105">
        <v>0.252</v>
      </c>
      <c r="OQ26" s="105">
        <v>0.255</v>
      </c>
      <c r="OR26" s="105">
        <v>0.219</v>
      </c>
      <c r="OS26" s="105">
        <v>0.221</v>
      </c>
      <c r="OT26" s="105">
        <v>0.221</v>
      </c>
      <c r="OU26" s="105">
        <v>0.222</v>
      </c>
      <c r="OV26" s="105">
        <v>0.224</v>
      </c>
      <c r="OW26" s="105">
        <v>0.22600000000000001</v>
      </c>
      <c r="OX26" s="105">
        <v>0.222</v>
      </c>
      <c r="OY26" s="105">
        <v>0.22600000000000001</v>
      </c>
      <c r="OZ26" s="105">
        <v>0.22900000000000001</v>
      </c>
      <c r="PA26" s="105">
        <v>0.22900000000000001</v>
      </c>
      <c r="PB26" s="105">
        <v>0.23200000000000001</v>
      </c>
      <c r="PC26" s="105">
        <v>0.23200000000000001</v>
      </c>
      <c r="PD26" s="105">
        <v>0.23899999999999999</v>
      </c>
      <c r="PE26" s="105">
        <v>0.23799999999999999</v>
      </c>
      <c r="PF26" s="105">
        <v>0.24399999999999999</v>
      </c>
      <c r="PG26" s="105">
        <v>0.245</v>
      </c>
      <c r="PH26" s="105">
        <v>0.252</v>
      </c>
      <c r="PI26" s="105">
        <v>0.25</v>
      </c>
      <c r="PJ26" s="105">
        <v>0.26</v>
      </c>
      <c r="PK26" s="105">
        <v>0.26</v>
      </c>
      <c r="PL26" s="105">
        <v>0.22600000000000001</v>
      </c>
      <c r="PM26" s="105">
        <v>0.22900000000000001</v>
      </c>
      <c r="PN26" s="105">
        <v>0.22500000000000001</v>
      </c>
      <c r="PO26" s="105">
        <v>0.22800000000000001</v>
      </c>
      <c r="PP26" s="105">
        <v>0.22600000000000001</v>
      </c>
      <c r="PQ26" s="105">
        <v>0.22600000000000001</v>
      </c>
      <c r="PR26" s="105">
        <v>0.22600000000000001</v>
      </c>
      <c r="PS26" s="105">
        <v>0.22600000000000001</v>
      </c>
      <c r="PT26" s="105">
        <v>0.22900000000000001</v>
      </c>
      <c r="PU26" s="105">
        <v>0.22700000000000001</v>
      </c>
      <c r="PV26" s="105">
        <v>0.23100000000000001</v>
      </c>
      <c r="PW26" s="105">
        <v>0.23100000000000001</v>
      </c>
      <c r="PX26" s="105">
        <v>0.23599999999999999</v>
      </c>
      <c r="PY26" s="105">
        <v>0.23400000000000001</v>
      </c>
      <c r="PZ26" s="105">
        <v>0.24099999999999999</v>
      </c>
      <c r="QA26" s="105">
        <v>0.23799999999999999</v>
      </c>
      <c r="QB26" s="105">
        <v>0.248</v>
      </c>
      <c r="QC26" s="105">
        <v>0.246</v>
      </c>
      <c r="QD26" s="105">
        <v>0.25800000000000001</v>
      </c>
      <c r="QE26" s="105">
        <v>0.255</v>
      </c>
      <c r="BXV26" s="107">
        <v>1</v>
      </c>
      <c r="BXW26" s="105" t="s">
        <v>155</v>
      </c>
      <c r="BXX26" s="105" t="s">
        <v>154</v>
      </c>
      <c r="BYA26" s="98">
        <v>0</v>
      </c>
      <c r="BYX26" s="105">
        <v>1</v>
      </c>
      <c r="BYY26" s="105">
        <v>2</v>
      </c>
      <c r="CAM26" s="105">
        <v>1</v>
      </c>
      <c r="CAN26" s="105">
        <v>2</v>
      </c>
      <c r="CAO26" s="105">
        <v>0.11</v>
      </c>
      <c r="CAP26" s="105">
        <v>0.01</v>
      </c>
      <c r="CAQ26" s="105">
        <v>0.09</v>
      </c>
    </row>
    <row r="27" spans="1:543 1998:2030 2067:2086">
      <c r="GY27" s="106"/>
    </row>
    <row r="28" spans="1:543 1998:2030 2067:2086">
      <c r="GY28" s="106"/>
    </row>
    <row r="29" spans="1:543 1998:2030 2067:2086">
      <c r="GY29" s="106"/>
    </row>
    <row r="30" spans="1:543 1998:2030 2067:2086">
      <c r="GY30" s="106"/>
    </row>
    <row r="31" spans="1:543 1998:2030 2067:2086">
      <c r="GY31" s="106"/>
    </row>
    <row r="32" spans="1:543 1998:2030 2067:2086">
      <c r="GY32" s="106"/>
    </row>
    <row r="33" spans="207:207">
      <c r="GY33" s="106"/>
    </row>
    <row r="34" spans="207:207">
      <c r="GY34" s="106"/>
    </row>
    <row r="35" spans="207:207">
      <c r="GY35" s="106"/>
    </row>
    <row r="36" spans="207:207">
      <c r="GY36" s="106"/>
    </row>
    <row r="37" spans="207:207">
      <c r="GY37" s="106"/>
    </row>
    <row r="38" spans="207:207">
      <c r="GY38" s="106"/>
    </row>
    <row r="39" spans="207:207">
      <c r="GY39" s="106"/>
    </row>
    <row r="40" spans="207:207">
      <c r="GY40" s="106"/>
    </row>
    <row r="41" spans="207:207">
      <c r="GY41" s="106"/>
    </row>
    <row r="42" spans="207:207">
      <c r="GY42" s="106"/>
    </row>
    <row r="43" spans="207:207">
      <c r="GY43" s="106"/>
    </row>
    <row r="44" spans="207:207">
      <c r="GY44" s="106"/>
    </row>
    <row r="45" spans="207:207">
      <c r="GY45" s="106"/>
    </row>
    <row r="46" spans="207:207">
      <c r="GY46" s="106"/>
    </row>
    <row r="47" spans="207:207">
      <c r="GY47" s="106"/>
    </row>
    <row r="48" spans="207:207">
      <c r="GY48" s="106"/>
    </row>
    <row r="49" spans="207:207">
      <c r="GY49" s="106"/>
    </row>
    <row r="50" spans="207:207">
      <c r="GY50" s="106"/>
    </row>
    <row r="51" spans="207:207">
      <c r="GY51" s="106"/>
    </row>
    <row r="52" spans="207:207">
      <c r="GY52" s="106"/>
    </row>
    <row r="53" spans="207:207">
      <c r="GY53" s="106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3"/>
    </sheetView>
  </sheetViews>
  <sheetFormatPr defaultColWidth="6.7109375" defaultRowHeight="15"/>
  <cols>
    <col min="1" max="1" width="23" style="93" customWidth="1"/>
    <col min="2" max="2" width="12.7109375" style="93" customWidth="1"/>
    <col min="3" max="3" width="16.5703125" style="94" customWidth="1"/>
    <col min="4" max="7" width="14" style="93" customWidth="1"/>
    <col min="8" max="31" width="10.5703125" style="99" customWidth="1"/>
    <col min="32" max="43" width="10.5703125" style="93" customWidth="1"/>
    <col min="44" max="54" width="10.42578125" style="93" customWidth="1"/>
    <col min="55" max="55" width="12.5703125" style="93" customWidth="1"/>
    <col min="56" max="56" width="20.5703125" style="93" bestFit="1" customWidth="1"/>
    <col min="57" max="64" width="14.28515625" style="96" customWidth="1"/>
    <col min="65" max="65" width="29" style="93" bestFit="1" customWidth="1"/>
    <col min="66" max="66" width="34.5703125" style="93" bestFit="1" customWidth="1"/>
    <col min="67" max="67" width="45" style="93" bestFit="1" customWidth="1"/>
    <col min="68" max="68" width="6.7109375" style="93"/>
    <col min="69" max="69" width="19.28515625" style="93" bestFit="1" customWidth="1"/>
    <col min="70" max="70" width="9.42578125" style="93" customWidth="1"/>
    <col min="71" max="226" width="6.7109375" style="93"/>
    <col min="227" max="227" width="45.85546875" style="93" bestFit="1" customWidth="1"/>
    <col min="228" max="229" width="17.28515625" style="93" customWidth="1"/>
    <col min="230" max="230" width="24.28515625" style="93" customWidth="1"/>
    <col min="231" max="731" width="6.7109375" style="93"/>
    <col min="732" max="743" width="21" style="102" customWidth="1"/>
    <col min="744" max="748" width="17.42578125" style="93" bestFit="1" customWidth="1"/>
    <col min="749" max="749" width="18.85546875" style="93" customWidth="1"/>
    <col min="750" max="16380" width="6.7109375" style="93"/>
    <col min="16381" max="16381" width="7.140625" style="93" customWidth="1"/>
    <col min="16382" max="16384" width="12.42578125" style="93" customWidth="1"/>
  </cols>
  <sheetData>
    <row r="1" spans="1:743 16382:16384">
      <c r="A1" s="93" t="s">
        <v>0</v>
      </c>
      <c r="B1" s="93" t="s">
        <v>38</v>
      </c>
      <c r="C1" s="94" t="s">
        <v>39</v>
      </c>
      <c r="D1" s="93" t="s">
        <v>43</v>
      </c>
      <c r="E1" s="93" t="s">
        <v>44</v>
      </c>
      <c r="F1" s="93" t="s">
        <v>32</v>
      </c>
      <c r="G1" s="93" t="str">
        <f>IF(D1="block X","Số PCB/1Sheet",D1*E1)</f>
        <v>Số PCB/1Sheet</v>
      </c>
      <c r="H1" s="93" t="s">
        <v>92</v>
      </c>
      <c r="I1" s="93" t="s">
        <v>93</v>
      </c>
      <c r="J1" s="93" t="s">
        <v>94</v>
      </c>
      <c r="K1" s="93" t="s">
        <v>95</v>
      </c>
      <c r="L1" s="93" t="s">
        <v>96</v>
      </c>
      <c r="M1" s="93" t="s">
        <v>97</v>
      </c>
      <c r="N1" s="93" t="s">
        <v>126</v>
      </c>
      <c r="O1" s="93" t="s">
        <v>98</v>
      </c>
      <c r="P1" s="93" t="s">
        <v>99</v>
      </c>
      <c r="Q1" s="93" t="s">
        <v>100</v>
      </c>
      <c r="R1" s="93" t="s">
        <v>101</v>
      </c>
      <c r="S1" s="93" t="s">
        <v>102</v>
      </c>
      <c r="T1" s="95" t="s">
        <v>143</v>
      </c>
      <c r="U1" s="93" t="s">
        <v>103</v>
      </c>
      <c r="V1" s="93" t="s">
        <v>104</v>
      </c>
      <c r="W1" s="93" t="s">
        <v>105</v>
      </c>
      <c r="X1" s="93" t="s">
        <v>106</v>
      </c>
      <c r="Y1" s="93" t="s">
        <v>107</v>
      </c>
      <c r="Z1" s="95" t="s">
        <v>127</v>
      </c>
      <c r="AA1" s="93" t="s">
        <v>108</v>
      </c>
      <c r="AB1" s="93" t="s">
        <v>109</v>
      </c>
      <c r="AC1" s="93" t="s">
        <v>110</v>
      </c>
      <c r="AD1" s="93" t="s">
        <v>111</v>
      </c>
      <c r="AE1" s="93" t="s">
        <v>112</v>
      </c>
      <c r="AF1" s="95" t="s">
        <v>86</v>
      </c>
      <c r="AG1" s="93" t="s">
        <v>87</v>
      </c>
      <c r="AH1" s="93" t="s">
        <v>88</v>
      </c>
      <c r="AI1" s="93" t="s">
        <v>89</v>
      </c>
      <c r="AJ1" s="93" t="s">
        <v>90</v>
      </c>
      <c r="AK1" s="93" t="s">
        <v>91</v>
      </c>
      <c r="AL1" s="95" t="s">
        <v>120</v>
      </c>
      <c r="AM1" s="93" t="s">
        <v>121</v>
      </c>
      <c r="AN1" s="93" t="s">
        <v>122</v>
      </c>
      <c r="AO1" s="93" t="s">
        <v>123</v>
      </c>
      <c r="AP1" s="93" t="s">
        <v>124</v>
      </c>
      <c r="AQ1" s="93" t="s">
        <v>125</v>
      </c>
      <c r="AR1" s="93" t="s">
        <v>128</v>
      </c>
      <c r="AS1" s="93" t="s">
        <v>47</v>
      </c>
      <c r="AT1" s="93" t="s">
        <v>48</v>
      </c>
      <c r="AU1" s="93" t="s">
        <v>49</v>
      </c>
      <c r="AV1" s="93" t="s">
        <v>50</v>
      </c>
      <c r="AW1" s="93" t="s">
        <v>113</v>
      </c>
      <c r="AX1" s="93" t="s">
        <v>114</v>
      </c>
      <c r="AY1" s="93" t="s">
        <v>115</v>
      </c>
      <c r="AZ1" s="93" t="s">
        <v>116</v>
      </c>
      <c r="BA1" s="93" t="s">
        <v>117</v>
      </c>
      <c r="BB1" s="93" t="s">
        <v>118</v>
      </c>
      <c r="BC1" s="93" t="s">
        <v>119</v>
      </c>
      <c r="BD1" s="95" t="s">
        <v>23</v>
      </c>
      <c r="BE1" s="96" t="s">
        <v>24</v>
      </c>
      <c r="BF1" s="96" t="s">
        <v>25</v>
      </c>
      <c r="BG1" s="96" t="s">
        <v>26</v>
      </c>
      <c r="BH1" s="96" t="s">
        <v>27</v>
      </c>
      <c r="BI1" s="96" t="s">
        <v>28</v>
      </c>
      <c r="BJ1" s="96" t="s">
        <v>29</v>
      </c>
      <c r="BK1" s="96" t="s">
        <v>30</v>
      </c>
      <c r="BL1" s="96" t="s">
        <v>31</v>
      </c>
      <c r="BM1" s="95" t="s">
        <v>142</v>
      </c>
      <c r="BN1" s="93" t="s">
        <v>41</v>
      </c>
      <c r="BO1" s="93" t="s">
        <v>40</v>
      </c>
      <c r="BQ1" s="93" t="s">
        <v>42</v>
      </c>
      <c r="BS1" s="93" t="s">
        <v>129</v>
      </c>
      <c r="CF1" s="93" t="s">
        <v>130</v>
      </c>
      <c r="CS1" s="93" t="s">
        <v>131</v>
      </c>
      <c r="DF1" s="93" t="s">
        <v>132</v>
      </c>
      <c r="DS1" s="93" t="s">
        <v>133</v>
      </c>
      <c r="EF1" s="93" t="s">
        <v>134</v>
      </c>
      <c r="ES1" s="93" t="s">
        <v>135</v>
      </c>
      <c r="FF1" s="93" t="s">
        <v>136</v>
      </c>
      <c r="FS1" s="93" t="s">
        <v>137</v>
      </c>
      <c r="GF1" s="93" t="s">
        <v>138</v>
      </c>
      <c r="GS1" s="93" t="s">
        <v>139</v>
      </c>
      <c r="HF1" s="93" t="s">
        <v>140</v>
      </c>
      <c r="HS1" s="93" t="s">
        <v>141</v>
      </c>
      <c r="HT1" s="93" t="s">
        <v>147</v>
      </c>
      <c r="HU1" s="93" t="s">
        <v>407</v>
      </c>
      <c r="HV1" s="93" t="s">
        <v>146</v>
      </c>
      <c r="HW1" s="93">
        <v>1</v>
      </c>
      <c r="HX1" s="93">
        <v>2</v>
      </c>
      <c r="HY1" s="93">
        <v>3</v>
      </c>
      <c r="HZ1" s="93">
        <v>4</v>
      </c>
      <c r="IA1" s="93">
        <v>5</v>
      </c>
      <c r="IB1" s="93">
        <v>6</v>
      </c>
      <c r="IC1" s="93">
        <v>7</v>
      </c>
      <c r="ID1" s="93">
        <v>8</v>
      </c>
      <c r="IE1" s="93">
        <v>9</v>
      </c>
      <c r="IF1" s="93">
        <v>10</v>
      </c>
      <c r="IG1" s="93">
        <v>11</v>
      </c>
      <c r="IH1" s="93">
        <v>12</v>
      </c>
      <c r="II1" s="93">
        <v>13</v>
      </c>
      <c r="IJ1" s="93">
        <v>14</v>
      </c>
      <c r="IK1" s="93">
        <v>15</v>
      </c>
      <c r="IL1" s="93">
        <v>16</v>
      </c>
      <c r="IM1" s="93">
        <v>17</v>
      </c>
      <c r="IN1" s="93">
        <v>18</v>
      </c>
      <c r="IO1" s="93">
        <v>19</v>
      </c>
      <c r="IP1" s="93">
        <v>20</v>
      </c>
      <c r="IQ1" s="93">
        <v>21</v>
      </c>
      <c r="IR1" s="93">
        <v>22</v>
      </c>
      <c r="IS1" s="93">
        <v>23</v>
      </c>
      <c r="IT1" s="93">
        <v>24</v>
      </c>
      <c r="IU1" s="93">
        <v>25</v>
      </c>
      <c r="IV1" s="93">
        <v>26</v>
      </c>
      <c r="IW1" s="93">
        <v>27</v>
      </c>
      <c r="IX1" s="93">
        <v>28</v>
      </c>
      <c r="IY1" s="93">
        <v>29</v>
      </c>
      <c r="IZ1" s="93">
        <v>30</v>
      </c>
      <c r="JA1" s="93">
        <v>31</v>
      </c>
      <c r="JB1" s="93">
        <v>32</v>
      </c>
      <c r="JC1" s="93">
        <v>33</v>
      </c>
      <c r="JD1" s="93">
        <v>34</v>
      </c>
      <c r="JE1" s="93">
        <v>35</v>
      </c>
      <c r="JF1" s="93">
        <v>36</v>
      </c>
      <c r="JG1" s="93">
        <v>37</v>
      </c>
      <c r="JH1" s="93">
        <v>38</v>
      </c>
      <c r="JI1" s="93">
        <v>39</v>
      </c>
      <c r="JJ1" s="93">
        <v>40</v>
      </c>
      <c r="JK1" s="93">
        <v>41</v>
      </c>
      <c r="JL1" s="93">
        <v>42</v>
      </c>
      <c r="JM1" s="93">
        <v>43</v>
      </c>
      <c r="JN1" s="93">
        <v>44</v>
      </c>
      <c r="JO1" s="93">
        <v>45</v>
      </c>
      <c r="JP1" s="93">
        <v>46</v>
      </c>
      <c r="JQ1" s="93">
        <v>47</v>
      </c>
      <c r="JR1" s="93">
        <v>48</v>
      </c>
      <c r="JS1" s="93">
        <v>49</v>
      </c>
      <c r="JT1" s="93">
        <v>50</v>
      </c>
      <c r="JU1" s="93">
        <v>51</v>
      </c>
      <c r="JV1" s="93">
        <v>52</v>
      </c>
      <c r="JW1" s="93">
        <v>53</v>
      </c>
      <c r="JX1" s="93">
        <v>54</v>
      </c>
      <c r="JY1" s="93">
        <v>55</v>
      </c>
      <c r="JZ1" s="93">
        <v>56</v>
      </c>
      <c r="KA1" s="93">
        <v>57</v>
      </c>
      <c r="KB1" s="93">
        <v>58</v>
      </c>
      <c r="KC1" s="93">
        <v>59</v>
      </c>
      <c r="KD1" s="93">
        <v>60</v>
      </c>
      <c r="KE1" s="93">
        <v>61</v>
      </c>
      <c r="KF1" s="93">
        <v>62</v>
      </c>
      <c r="KG1" s="93">
        <v>63</v>
      </c>
      <c r="KH1" s="93">
        <v>64</v>
      </c>
      <c r="KI1" s="93">
        <v>65</v>
      </c>
      <c r="KJ1" s="93">
        <v>66</v>
      </c>
      <c r="KK1" s="93">
        <v>67</v>
      </c>
      <c r="KL1" s="93">
        <v>68</v>
      </c>
      <c r="KM1" s="93">
        <v>69</v>
      </c>
      <c r="KN1" s="93">
        <v>70</v>
      </c>
      <c r="KO1" s="93">
        <v>71</v>
      </c>
      <c r="KP1" s="93">
        <v>72</v>
      </c>
      <c r="KQ1" s="93">
        <v>73</v>
      </c>
      <c r="KR1" s="93">
        <v>74</v>
      </c>
      <c r="KS1" s="93">
        <v>75</v>
      </c>
      <c r="KT1" s="93">
        <v>76</v>
      </c>
      <c r="KU1" s="93">
        <v>77</v>
      </c>
      <c r="KV1" s="93">
        <v>78</v>
      </c>
      <c r="KW1" s="93">
        <v>79</v>
      </c>
      <c r="KX1" s="93">
        <v>80</v>
      </c>
      <c r="KY1" s="93">
        <v>81</v>
      </c>
      <c r="KZ1" s="93">
        <v>82</v>
      </c>
      <c r="LA1" s="93">
        <v>83</v>
      </c>
      <c r="LB1" s="93">
        <v>84</v>
      </c>
      <c r="LC1" s="93">
        <v>85</v>
      </c>
      <c r="LD1" s="93">
        <v>86</v>
      </c>
      <c r="LE1" s="93">
        <v>87</v>
      </c>
      <c r="LF1" s="93">
        <v>88</v>
      </c>
      <c r="LG1" s="93">
        <v>89</v>
      </c>
      <c r="LH1" s="93">
        <v>90</v>
      </c>
      <c r="LI1" s="93">
        <v>91</v>
      </c>
      <c r="LJ1" s="93">
        <v>92</v>
      </c>
      <c r="LK1" s="93">
        <v>93</v>
      </c>
      <c r="LL1" s="93">
        <v>94</v>
      </c>
      <c r="LM1" s="93">
        <v>95</v>
      </c>
      <c r="LN1" s="93">
        <v>96</v>
      </c>
      <c r="LO1" s="93">
        <v>97</v>
      </c>
      <c r="LP1" s="93">
        <v>98</v>
      </c>
      <c r="LQ1" s="93">
        <v>99</v>
      </c>
      <c r="LR1" s="93">
        <v>100</v>
      </c>
      <c r="LS1" s="93">
        <v>101</v>
      </c>
      <c r="LT1" s="93">
        <v>102</v>
      </c>
      <c r="LU1" s="93">
        <v>103</v>
      </c>
      <c r="LV1" s="93">
        <v>104</v>
      </c>
      <c r="LW1" s="93">
        <v>105</v>
      </c>
      <c r="LX1" s="93">
        <v>106</v>
      </c>
      <c r="LY1" s="93">
        <v>107</v>
      </c>
      <c r="LZ1" s="93">
        <v>108</v>
      </c>
      <c r="MA1" s="93">
        <v>109</v>
      </c>
      <c r="MB1" s="93">
        <v>110</v>
      </c>
      <c r="MC1" s="93">
        <v>111</v>
      </c>
      <c r="MD1" s="93">
        <v>112</v>
      </c>
      <c r="ME1" s="93">
        <v>113</v>
      </c>
      <c r="MF1" s="93">
        <v>114</v>
      </c>
      <c r="MG1" s="93">
        <v>115</v>
      </c>
      <c r="MH1" s="93">
        <v>116</v>
      </c>
      <c r="MI1" s="93">
        <v>117</v>
      </c>
      <c r="MJ1" s="93">
        <v>118</v>
      </c>
      <c r="MK1" s="93">
        <v>119</v>
      </c>
      <c r="ML1" s="93">
        <v>120</v>
      </c>
      <c r="MM1" s="93">
        <v>121</v>
      </c>
      <c r="MN1" s="93">
        <v>122</v>
      </c>
      <c r="MO1" s="93">
        <v>123</v>
      </c>
      <c r="MP1" s="93">
        <v>124</v>
      </c>
      <c r="MQ1" s="93">
        <v>125</v>
      </c>
      <c r="MR1" s="93">
        <v>126</v>
      </c>
      <c r="MS1" s="93">
        <v>127</v>
      </c>
      <c r="MT1" s="93">
        <v>128</v>
      </c>
      <c r="MU1" s="93">
        <v>129</v>
      </c>
      <c r="MV1" s="93">
        <v>130</v>
      </c>
      <c r="MW1" s="93">
        <v>131</v>
      </c>
      <c r="MX1" s="93">
        <v>132</v>
      </c>
      <c r="MY1" s="93">
        <v>133</v>
      </c>
      <c r="MZ1" s="93">
        <v>134</v>
      </c>
      <c r="NA1" s="93">
        <v>135</v>
      </c>
      <c r="NB1" s="93">
        <v>136</v>
      </c>
      <c r="NC1" s="93">
        <v>137</v>
      </c>
      <c r="ND1" s="93">
        <v>138</v>
      </c>
      <c r="NE1" s="93">
        <v>139</v>
      </c>
      <c r="NF1" s="93">
        <v>140</v>
      </c>
      <c r="NG1" s="93">
        <v>141</v>
      </c>
      <c r="NH1" s="93">
        <v>142</v>
      </c>
      <c r="NI1" s="93">
        <v>143</v>
      </c>
      <c r="NJ1" s="93">
        <v>144</v>
      </c>
      <c r="NK1" s="93">
        <v>145</v>
      </c>
      <c r="NL1" s="93">
        <v>146</v>
      </c>
      <c r="NM1" s="93">
        <v>147</v>
      </c>
      <c r="NN1" s="93">
        <v>148</v>
      </c>
      <c r="NO1" s="93">
        <v>149</v>
      </c>
      <c r="NP1" s="93">
        <v>150</v>
      </c>
      <c r="NQ1" s="93">
        <v>151</v>
      </c>
      <c r="NR1" s="93">
        <v>152</v>
      </c>
      <c r="NS1" s="93">
        <v>153</v>
      </c>
      <c r="NT1" s="93">
        <v>154</v>
      </c>
      <c r="NU1" s="93">
        <v>155</v>
      </c>
      <c r="NV1" s="93">
        <v>156</v>
      </c>
      <c r="NW1" s="93">
        <v>157</v>
      </c>
      <c r="NX1" s="93">
        <v>158</v>
      </c>
      <c r="NY1" s="93">
        <v>159</v>
      </c>
      <c r="NZ1" s="93">
        <v>160</v>
      </c>
      <c r="OA1" s="93">
        <v>161</v>
      </c>
      <c r="OB1" s="93">
        <v>162</v>
      </c>
      <c r="OC1" s="93">
        <v>163</v>
      </c>
      <c r="OD1" s="93">
        <v>164</v>
      </c>
      <c r="OE1" s="93">
        <v>165</v>
      </c>
      <c r="OF1" s="93">
        <v>166</v>
      </c>
      <c r="OG1" s="93">
        <v>167</v>
      </c>
      <c r="OH1" s="93">
        <v>168</v>
      </c>
      <c r="OI1" s="93">
        <v>169</v>
      </c>
      <c r="OJ1" s="93">
        <v>170</v>
      </c>
      <c r="OK1" s="93">
        <v>171</v>
      </c>
      <c r="OL1" s="93">
        <v>172</v>
      </c>
      <c r="OM1" s="93">
        <v>173</v>
      </c>
      <c r="ON1" s="93">
        <v>174</v>
      </c>
      <c r="OO1" s="93">
        <v>175</v>
      </c>
      <c r="OP1" s="93">
        <v>176</v>
      </c>
      <c r="OQ1" s="93">
        <v>177</v>
      </c>
      <c r="OR1" s="93">
        <v>178</v>
      </c>
      <c r="OS1" s="93">
        <v>179</v>
      </c>
      <c r="OT1" s="93">
        <v>180</v>
      </c>
      <c r="OU1" s="93">
        <v>181</v>
      </c>
      <c r="OV1" s="93">
        <v>182</v>
      </c>
      <c r="OW1" s="93">
        <v>183</v>
      </c>
      <c r="OX1" s="93">
        <v>184</v>
      </c>
      <c r="OY1" s="93">
        <v>185</v>
      </c>
      <c r="OZ1" s="93">
        <v>186</v>
      </c>
      <c r="PA1" s="93">
        <v>187</v>
      </c>
      <c r="PB1" s="93">
        <v>188</v>
      </c>
      <c r="PC1" s="93">
        <v>189</v>
      </c>
      <c r="PD1" s="93">
        <v>190</v>
      </c>
      <c r="PE1" s="93">
        <v>191</v>
      </c>
      <c r="PF1" s="93">
        <v>192</v>
      </c>
      <c r="PG1" s="93">
        <v>193</v>
      </c>
      <c r="PH1" s="93">
        <v>194</v>
      </c>
      <c r="PI1" s="93">
        <v>195</v>
      </c>
      <c r="PJ1" s="93">
        <v>196</v>
      </c>
      <c r="PK1" s="93">
        <v>197</v>
      </c>
      <c r="PL1" s="93">
        <v>198</v>
      </c>
      <c r="PM1" s="93">
        <v>199</v>
      </c>
      <c r="PN1" s="93">
        <v>200</v>
      </c>
      <c r="PO1" s="93">
        <v>201</v>
      </c>
      <c r="PP1" s="93">
        <v>202</v>
      </c>
      <c r="PQ1" s="93">
        <v>203</v>
      </c>
      <c r="PR1" s="93">
        <v>204</v>
      </c>
      <c r="PS1" s="93">
        <v>205</v>
      </c>
      <c r="PT1" s="93">
        <v>206</v>
      </c>
      <c r="PU1" s="93">
        <v>207</v>
      </c>
      <c r="PV1" s="93">
        <v>208</v>
      </c>
      <c r="PW1" s="93">
        <v>209</v>
      </c>
      <c r="PX1" s="93">
        <v>210</v>
      </c>
      <c r="PY1" s="93">
        <v>211</v>
      </c>
      <c r="PZ1" s="93">
        <v>212</v>
      </c>
      <c r="QA1" s="93">
        <v>213</v>
      </c>
      <c r="QB1" s="93">
        <v>214</v>
      </c>
      <c r="QC1" s="93">
        <v>215</v>
      </c>
      <c r="QD1" s="93">
        <v>216</v>
      </c>
      <c r="QE1" s="93">
        <v>217</v>
      </c>
      <c r="QF1" s="93">
        <v>218</v>
      </c>
      <c r="QG1" s="93">
        <v>219</v>
      </c>
      <c r="QH1" s="93">
        <v>220</v>
      </c>
      <c r="QI1" s="93">
        <v>221</v>
      </c>
      <c r="QJ1" s="93">
        <v>222</v>
      </c>
      <c r="QK1" s="93">
        <v>223</v>
      </c>
      <c r="QL1" s="93">
        <v>224</v>
      </c>
      <c r="QM1" s="93">
        <v>225</v>
      </c>
      <c r="QN1" s="93">
        <v>226</v>
      </c>
      <c r="QO1" s="93">
        <v>227</v>
      </c>
      <c r="QP1" s="93">
        <v>228</v>
      </c>
      <c r="QQ1" s="93">
        <v>229</v>
      </c>
      <c r="QR1" s="93">
        <v>230</v>
      </c>
      <c r="QS1" s="93">
        <v>231</v>
      </c>
      <c r="QT1" s="93">
        <v>232</v>
      </c>
      <c r="QU1" s="93">
        <v>233</v>
      </c>
      <c r="QV1" s="93">
        <v>234</v>
      </c>
      <c r="QW1" s="93">
        <v>235</v>
      </c>
      <c r="QX1" s="93">
        <v>236</v>
      </c>
      <c r="QY1" s="93">
        <v>237</v>
      </c>
      <c r="QZ1" s="93">
        <v>238</v>
      </c>
      <c r="RA1" s="93">
        <v>239</v>
      </c>
      <c r="RB1" s="93">
        <v>240</v>
      </c>
      <c r="RC1" s="93">
        <v>241</v>
      </c>
      <c r="RD1" s="93">
        <v>242</v>
      </c>
      <c r="RE1" s="93">
        <v>243</v>
      </c>
      <c r="RF1" s="93">
        <v>244</v>
      </c>
      <c r="RG1" s="93">
        <v>245</v>
      </c>
      <c r="RH1" s="93">
        <v>246</v>
      </c>
      <c r="RI1" s="93">
        <v>247</v>
      </c>
      <c r="RJ1" s="93">
        <v>248</v>
      </c>
      <c r="RK1" s="93">
        <v>249</v>
      </c>
      <c r="RL1" s="93">
        <v>250</v>
      </c>
      <c r="RM1" s="93">
        <v>251</v>
      </c>
      <c r="RN1" s="93">
        <v>252</v>
      </c>
      <c r="RO1" s="93">
        <v>253</v>
      </c>
      <c r="RP1" s="93">
        <v>254</v>
      </c>
      <c r="RQ1" s="93">
        <v>255</v>
      </c>
      <c r="RR1" s="93">
        <v>256</v>
      </c>
      <c r="RS1" s="93">
        <v>257</v>
      </c>
      <c r="RT1" s="93">
        <v>258</v>
      </c>
      <c r="RU1" s="93">
        <v>259</v>
      </c>
      <c r="RV1" s="93">
        <v>260</v>
      </c>
      <c r="RW1" s="93">
        <v>261</v>
      </c>
      <c r="RX1" s="93">
        <v>262</v>
      </c>
      <c r="RY1" s="93">
        <v>263</v>
      </c>
      <c r="RZ1" s="93">
        <v>264</v>
      </c>
      <c r="SA1" s="93">
        <v>265</v>
      </c>
      <c r="SB1" s="93">
        <v>266</v>
      </c>
      <c r="SC1" s="93">
        <v>267</v>
      </c>
      <c r="SD1" s="93">
        <v>268</v>
      </c>
      <c r="SE1" s="93">
        <v>269</v>
      </c>
      <c r="SF1" s="93">
        <v>270</v>
      </c>
      <c r="SG1" s="93">
        <v>271</v>
      </c>
      <c r="SH1" s="93">
        <v>272</v>
      </c>
      <c r="SI1" s="93">
        <v>273</v>
      </c>
      <c r="SJ1" s="93">
        <v>274</v>
      </c>
      <c r="SK1" s="93">
        <v>275</v>
      </c>
      <c r="SL1" s="93">
        <v>276</v>
      </c>
      <c r="SM1" s="93">
        <v>277</v>
      </c>
      <c r="SN1" s="93">
        <v>278</v>
      </c>
      <c r="SO1" s="93">
        <v>279</v>
      </c>
      <c r="SP1" s="93">
        <v>280</v>
      </c>
      <c r="SQ1" s="93">
        <v>281</v>
      </c>
      <c r="SR1" s="93">
        <v>282</v>
      </c>
      <c r="SS1" s="93">
        <v>283</v>
      </c>
      <c r="ST1" s="93">
        <v>284</v>
      </c>
      <c r="SU1" s="93">
        <v>285</v>
      </c>
      <c r="SV1" s="93">
        <v>286</v>
      </c>
      <c r="SW1" s="93">
        <v>287</v>
      </c>
      <c r="SX1" s="93">
        <v>288</v>
      </c>
      <c r="SY1" s="93">
        <v>289</v>
      </c>
      <c r="SZ1" s="93">
        <v>290</v>
      </c>
      <c r="TA1" s="93">
        <v>291</v>
      </c>
      <c r="TB1" s="93">
        <v>292</v>
      </c>
      <c r="TC1" s="93">
        <v>293</v>
      </c>
      <c r="TD1" s="93">
        <v>294</v>
      </c>
      <c r="TE1" s="93">
        <v>295</v>
      </c>
      <c r="TF1" s="93">
        <v>296</v>
      </c>
      <c r="TG1" s="93">
        <v>297</v>
      </c>
      <c r="TH1" s="93">
        <v>298</v>
      </c>
      <c r="TI1" s="93">
        <v>299</v>
      </c>
      <c r="TJ1" s="93">
        <v>300</v>
      </c>
      <c r="TK1" s="93">
        <v>301</v>
      </c>
      <c r="TL1" s="93">
        <v>302</v>
      </c>
      <c r="TM1" s="93">
        <v>303</v>
      </c>
      <c r="TN1" s="93">
        <v>304</v>
      </c>
      <c r="TO1" s="93">
        <v>305</v>
      </c>
      <c r="TP1" s="93">
        <v>306</v>
      </c>
      <c r="TQ1" s="93">
        <v>307</v>
      </c>
      <c r="TR1" s="93">
        <v>308</v>
      </c>
      <c r="TS1" s="93">
        <v>309</v>
      </c>
      <c r="TT1" s="93">
        <v>310</v>
      </c>
      <c r="TU1" s="93">
        <v>311</v>
      </c>
      <c r="TV1" s="93">
        <v>312</v>
      </c>
      <c r="TW1" s="93">
        <v>313</v>
      </c>
      <c r="TX1" s="93">
        <v>314</v>
      </c>
      <c r="TY1" s="93">
        <v>315</v>
      </c>
      <c r="TZ1" s="93">
        <v>316</v>
      </c>
      <c r="UA1" s="93">
        <v>317</v>
      </c>
      <c r="UB1" s="93">
        <v>318</v>
      </c>
      <c r="UC1" s="93">
        <v>319</v>
      </c>
      <c r="UD1" s="93">
        <v>320</v>
      </c>
      <c r="UE1" s="93">
        <v>321</v>
      </c>
      <c r="UF1" s="93">
        <v>322</v>
      </c>
      <c r="UG1" s="93">
        <v>323</v>
      </c>
      <c r="UH1" s="93">
        <v>324</v>
      </c>
      <c r="UI1" s="93">
        <v>325</v>
      </c>
      <c r="UJ1" s="93">
        <v>326</v>
      </c>
      <c r="UK1" s="93">
        <v>327</v>
      </c>
      <c r="UL1" s="93">
        <v>328</v>
      </c>
      <c r="UM1" s="93">
        <v>329</v>
      </c>
      <c r="UN1" s="93">
        <v>330</v>
      </c>
      <c r="UO1" s="93">
        <v>331</v>
      </c>
      <c r="UP1" s="93">
        <v>332</v>
      </c>
      <c r="UQ1" s="93">
        <v>333</v>
      </c>
      <c r="UR1" s="93">
        <v>334</v>
      </c>
      <c r="US1" s="93">
        <v>335</v>
      </c>
      <c r="UT1" s="93">
        <v>336</v>
      </c>
      <c r="UU1" s="93">
        <v>337</v>
      </c>
      <c r="UV1" s="93">
        <v>338</v>
      </c>
      <c r="UW1" s="93">
        <v>339</v>
      </c>
      <c r="UX1" s="93">
        <v>340</v>
      </c>
      <c r="UY1" s="93">
        <v>341</v>
      </c>
      <c r="UZ1" s="93">
        <v>342</v>
      </c>
      <c r="VA1" s="93">
        <v>343</v>
      </c>
      <c r="VB1" s="93">
        <v>344</v>
      </c>
      <c r="VC1" s="93">
        <v>345</v>
      </c>
      <c r="VD1" s="93">
        <v>346</v>
      </c>
      <c r="VE1" s="93">
        <v>347</v>
      </c>
      <c r="VF1" s="93">
        <v>348</v>
      </c>
      <c r="VG1" s="93">
        <v>349</v>
      </c>
      <c r="VH1" s="93">
        <v>350</v>
      </c>
      <c r="VI1" s="93">
        <v>351</v>
      </c>
      <c r="VJ1" s="93">
        <v>352</v>
      </c>
      <c r="VK1" s="93">
        <v>353</v>
      </c>
      <c r="VL1" s="93">
        <v>354</v>
      </c>
      <c r="VM1" s="93">
        <v>355</v>
      </c>
      <c r="VN1" s="93">
        <v>356</v>
      </c>
      <c r="VO1" s="93">
        <v>357</v>
      </c>
      <c r="VP1" s="93">
        <v>358</v>
      </c>
      <c r="VQ1" s="93">
        <v>359</v>
      </c>
      <c r="VR1" s="93">
        <v>360</v>
      </c>
      <c r="VS1" s="93">
        <v>361</v>
      </c>
      <c r="VT1" s="93">
        <v>362</v>
      </c>
      <c r="VU1" s="93">
        <v>363</v>
      </c>
      <c r="VV1" s="93">
        <v>364</v>
      </c>
      <c r="VW1" s="93">
        <v>365</v>
      </c>
      <c r="VX1" s="93">
        <v>366</v>
      </c>
      <c r="VY1" s="93">
        <v>367</v>
      </c>
      <c r="VZ1" s="93">
        <v>368</v>
      </c>
      <c r="WA1" s="93">
        <v>369</v>
      </c>
      <c r="WB1" s="93">
        <v>370</v>
      </c>
      <c r="WC1" s="93">
        <v>371</v>
      </c>
      <c r="WD1" s="93">
        <v>372</v>
      </c>
      <c r="WE1" s="93">
        <v>373</v>
      </c>
      <c r="WF1" s="93">
        <v>374</v>
      </c>
      <c r="WG1" s="93">
        <v>375</v>
      </c>
      <c r="WH1" s="93">
        <v>376</v>
      </c>
      <c r="WI1" s="93">
        <v>377</v>
      </c>
      <c r="WJ1" s="93">
        <v>378</v>
      </c>
      <c r="WK1" s="93">
        <v>379</v>
      </c>
      <c r="WL1" s="93">
        <v>380</v>
      </c>
      <c r="WM1" s="93">
        <v>381</v>
      </c>
      <c r="WN1" s="93">
        <v>382</v>
      </c>
      <c r="WO1" s="93">
        <v>383</v>
      </c>
      <c r="WP1" s="93">
        <v>384</v>
      </c>
      <c r="WQ1" s="93">
        <v>385</v>
      </c>
      <c r="WR1" s="93">
        <v>386</v>
      </c>
      <c r="WS1" s="93">
        <v>387</v>
      </c>
      <c r="WT1" s="93">
        <v>388</v>
      </c>
      <c r="WU1" s="93">
        <v>389</v>
      </c>
      <c r="WV1" s="93">
        <v>390</v>
      </c>
      <c r="WW1" s="93">
        <v>391</v>
      </c>
      <c r="WX1" s="93">
        <v>392</v>
      </c>
      <c r="WY1" s="93">
        <v>393</v>
      </c>
      <c r="WZ1" s="93">
        <v>394</v>
      </c>
      <c r="XA1" s="93">
        <v>395</v>
      </c>
      <c r="XB1" s="93">
        <v>396</v>
      </c>
      <c r="XC1" s="93">
        <v>397</v>
      </c>
      <c r="XD1" s="93">
        <v>398</v>
      </c>
      <c r="XE1" s="93">
        <v>399</v>
      </c>
      <c r="XF1" s="93">
        <v>400</v>
      </c>
      <c r="XG1" s="93">
        <v>401</v>
      </c>
      <c r="XH1" s="93">
        <v>402</v>
      </c>
      <c r="XI1" s="93">
        <v>403</v>
      </c>
      <c r="XJ1" s="93">
        <v>404</v>
      </c>
      <c r="XK1" s="93">
        <v>405</v>
      </c>
      <c r="XL1" s="93">
        <v>406</v>
      </c>
      <c r="XM1" s="93">
        <v>407</v>
      </c>
      <c r="XN1" s="93">
        <v>408</v>
      </c>
      <c r="XO1" s="93">
        <v>409</v>
      </c>
      <c r="XP1" s="93">
        <v>410</v>
      </c>
      <c r="XQ1" s="93">
        <v>411</v>
      </c>
      <c r="XR1" s="93">
        <v>412</v>
      </c>
      <c r="XS1" s="93">
        <v>413</v>
      </c>
      <c r="XT1" s="93">
        <v>414</v>
      </c>
      <c r="XU1" s="93">
        <v>415</v>
      </c>
      <c r="XV1" s="93">
        <v>416</v>
      </c>
      <c r="XW1" s="93">
        <v>417</v>
      </c>
      <c r="XX1" s="93">
        <v>418</v>
      </c>
      <c r="XY1" s="93">
        <v>419</v>
      </c>
      <c r="XZ1" s="93">
        <v>420</v>
      </c>
      <c r="YA1" s="93">
        <v>421</v>
      </c>
      <c r="YB1" s="93">
        <v>422</v>
      </c>
      <c r="YC1" s="93">
        <v>423</v>
      </c>
      <c r="YD1" s="93">
        <v>424</v>
      </c>
      <c r="YE1" s="93">
        <v>425</v>
      </c>
      <c r="YF1" s="93">
        <v>426</v>
      </c>
      <c r="YG1" s="93">
        <v>427</v>
      </c>
      <c r="YH1" s="93">
        <v>428</v>
      </c>
      <c r="YI1" s="93">
        <v>429</v>
      </c>
      <c r="YJ1" s="93">
        <v>430</v>
      </c>
      <c r="YK1" s="93">
        <v>431</v>
      </c>
      <c r="YL1" s="93">
        <v>432</v>
      </c>
      <c r="YM1" s="93">
        <v>433</v>
      </c>
      <c r="YN1" s="93">
        <v>434</v>
      </c>
      <c r="YO1" s="93">
        <v>435</v>
      </c>
      <c r="YP1" s="93">
        <v>436</v>
      </c>
      <c r="YQ1" s="93">
        <v>437</v>
      </c>
      <c r="YR1" s="93">
        <v>438</v>
      </c>
      <c r="YS1" s="93">
        <v>439</v>
      </c>
      <c r="YT1" s="93">
        <v>440</v>
      </c>
      <c r="YU1" s="93">
        <v>441</v>
      </c>
      <c r="YV1" s="93">
        <v>442</v>
      </c>
      <c r="YW1" s="93">
        <v>443</v>
      </c>
      <c r="YX1" s="93">
        <v>444</v>
      </c>
      <c r="YY1" s="93">
        <v>445</v>
      </c>
      <c r="YZ1" s="93">
        <v>446</v>
      </c>
      <c r="ZA1" s="93">
        <v>447</v>
      </c>
      <c r="ZB1" s="93">
        <v>448</v>
      </c>
      <c r="ZC1" s="93">
        <v>449</v>
      </c>
      <c r="ZD1" s="93">
        <v>450</v>
      </c>
      <c r="ZE1" s="93">
        <v>451</v>
      </c>
      <c r="ZF1" s="93">
        <v>452</v>
      </c>
      <c r="ZG1" s="93">
        <v>453</v>
      </c>
      <c r="ZH1" s="93">
        <v>454</v>
      </c>
      <c r="ZI1" s="93">
        <v>455</v>
      </c>
      <c r="ZJ1" s="93">
        <v>456</v>
      </c>
      <c r="ZK1" s="93">
        <v>457</v>
      </c>
      <c r="ZL1" s="93">
        <v>458</v>
      </c>
      <c r="ZM1" s="93">
        <v>459</v>
      </c>
      <c r="ZN1" s="93">
        <v>460</v>
      </c>
      <c r="ZO1" s="93">
        <v>461</v>
      </c>
      <c r="ZP1" s="93">
        <v>462</v>
      </c>
      <c r="ZQ1" s="93">
        <v>463</v>
      </c>
      <c r="ZR1" s="93">
        <v>464</v>
      </c>
      <c r="ZS1" s="93">
        <v>465</v>
      </c>
      <c r="ZT1" s="93">
        <v>466</v>
      </c>
      <c r="ZU1" s="93">
        <v>467</v>
      </c>
      <c r="ZV1" s="93">
        <v>468</v>
      </c>
      <c r="ZW1" s="93">
        <v>469</v>
      </c>
      <c r="ZX1" s="93">
        <v>470</v>
      </c>
      <c r="ZY1" s="93">
        <v>471</v>
      </c>
      <c r="ZZ1" s="93">
        <v>472</v>
      </c>
      <c r="AAA1" s="93">
        <v>473</v>
      </c>
      <c r="AAB1" s="93">
        <v>474</v>
      </c>
      <c r="AAC1" s="93">
        <v>475</v>
      </c>
      <c r="AAD1" s="93">
        <v>476</v>
      </c>
      <c r="AAE1" s="93">
        <v>477</v>
      </c>
      <c r="AAF1" s="93">
        <v>478</v>
      </c>
      <c r="AAG1" s="93">
        <v>479</v>
      </c>
      <c r="AAH1" s="93">
        <v>480</v>
      </c>
      <c r="AAI1" s="93">
        <v>481</v>
      </c>
      <c r="AAJ1" s="93">
        <v>482</v>
      </c>
      <c r="AAK1" s="93">
        <v>483</v>
      </c>
      <c r="AAL1" s="93">
        <v>484</v>
      </c>
      <c r="AAM1" s="93">
        <v>485</v>
      </c>
      <c r="AAN1" s="93">
        <v>486</v>
      </c>
      <c r="AAO1" s="93">
        <v>487</v>
      </c>
      <c r="AAP1" s="93">
        <v>488</v>
      </c>
      <c r="AAQ1" s="93">
        <v>489</v>
      </c>
      <c r="AAR1" s="93">
        <v>490</v>
      </c>
      <c r="AAS1" s="93">
        <v>491</v>
      </c>
      <c r="AAT1" s="93">
        <v>492</v>
      </c>
      <c r="AAU1" s="93">
        <v>493</v>
      </c>
      <c r="AAV1" s="93">
        <v>494</v>
      </c>
      <c r="AAW1" s="93">
        <v>495</v>
      </c>
      <c r="AAX1" s="93">
        <v>496</v>
      </c>
      <c r="AAY1" s="93">
        <v>497</v>
      </c>
      <c r="AAZ1" s="93">
        <v>498</v>
      </c>
      <c r="ABA1" s="93">
        <v>499</v>
      </c>
      <c r="ABB1" s="93">
        <v>500</v>
      </c>
      <c r="ABD1" s="97" t="s">
        <v>408</v>
      </c>
      <c r="ABE1" s="97" t="s">
        <v>419</v>
      </c>
      <c r="ABF1" s="97" t="s">
        <v>409</v>
      </c>
      <c r="ABG1" s="97" t="s">
        <v>410</v>
      </c>
      <c r="ABH1" s="97" t="s">
        <v>411</v>
      </c>
      <c r="ABI1" s="97" t="s">
        <v>412</v>
      </c>
      <c r="ABJ1" s="97" t="s">
        <v>413</v>
      </c>
      <c r="ABK1" s="97" t="s">
        <v>414</v>
      </c>
      <c r="ABL1" s="97" t="s">
        <v>415</v>
      </c>
      <c r="ABM1" s="97" t="s">
        <v>416</v>
      </c>
      <c r="ABN1" s="97" t="s">
        <v>417</v>
      </c>
      <c r="ABO1" s="97" t="s">
        <v>418</v>
      </c>
      <c r="XFB1" s="98" t="s">
        <v>58</v>
      </c>
      <c r="XFC1" s="98" t="s">
        <v>157</v>
      </c>
      <c r="XFD1" s="98" t="s">
        <v>159</v>
      </c>
    </row>
    <row r="2" spans="1:743 16382:16384">
      <c r="A2" s="93" t="s">
        <v>463</v>
      </c>
      <c r="B2" s="93" t="s">
        <v>380</v>
      </c>
      <c r="C2" s="94">
        <v>45568.30341</v>
      </c>
      <c r="D2" s="93">
        <v>3</v>
      </c>
      <c r="E2" s="93">
        <v>6</v>
      </c>
      <c r="F2" s="93">
        <v>5</v>
      </c>
      <c r="G2" s="93">
        <v>18</v>
      </c>
      <c r="H2" s="99">
        <v>0.59</v>
      </c>
      <c r="I2" s="99">
        <v>0.59</v>
      </c>
      <c r="J2" s="99">
        <v>0.59</v>
      </c>
      <c r="K2" s="99">
        <v>0.59</v>
      </c>
      <c r="L2" s="99">
        <v>0.64</v>
      </c>
      <c r="T2" s="99">
        <v>0.49</v>
      </c>
      <c r="U2" s="99">
        <v>0.49</v>
      </c>
      <c r="V2" s="99">
        <v>0.49</v>
      </c>
      <c r="W2" s="99">
        <v>0.49</v>
      </c>
      <c r="X2" s="99">
        <v>0.54</v>
      </c>
      <c r="AF2" s="93" t="s">
        <v>383</v>
      </c>
      <c r="AG2" s="93" t="s">
        <v>384</v>
      </c>
      <c r="AH2" s="93" t="s">
        <v>386</v>
      </c>
      <c r="AI2" s="93" t="s">
        <v>385</v>
      </c>
      <c r="AJ2" s="93" t="s">
        <v>381</v>
      </c>
      <c r="AR2" s="93">
        <v>0</v>
      </c>
      <c r="AS2" s="93">
        <v>0</v>
      </c>
      <c r="AT2" s="93">
        <v>0</v>
      </c>
      <c r="AU2" s="93">
        <v>0</v>
      </c>
      <c r="AV2" s="93">
        <v>0</v>
      </c>
      <c r="AW2" s="93">
        <v>0</v>
      </c>
      <c r="AX2" s="93">
        <v>0</v>
      </c>
      <c r="AY2" s="93">
        <v>0</v>
      </c>
      <c r="AZ2" s="93">
        <v>0</v>
      </c>
      <c r="BA2" s="93">
        <v>0</v>
      </c>
      <c r="BB2" s="93">
        <v>0</v>
      </c>
      <c r="BC2" s="93">
        <v>0</v>
      </c>
      <c r="BM2" s="100" t="s">
        <v>190</v>
      </c>
      <c r="BN2" s="101" t="s">
        <v>213</v>
      </c>
      <c r="BO2" s="101" t="s">
        <v>191</v>
      </c>
      <c r="BP2" s="101"/>
      <c r="BQ2" s="93" t="s">
        <v>404</v>
      </c>
      <c r="XFB2" s="103" t="s">
        <v>144</v>
      </c>
      <c r="XFC2" s="103">
        <v>1</v>
      </c>
      <c r="XFD2" s="103">
        <v>1</v>
      </c>
    </row>
    <row r="3" spans="1:743 16382:16384">
      <c r="A3" s="93" t="s">
        <v>464</v>
      </c>
      <c r="B3" s="93" t="s">
        <v>380</v>
      </c>
      <c r="C3" s="94">
        <v>45522.401729999998</v>
      </c>
      <c r="D3" s="93">
        <v>1</v>
      </c>
      <c r="E3" s="93">
        <v>16</v>
      </c>
      <c r="F3" s="93">
        <v>7</v>
      </c>
      <c r="G3" s="93">
        <v>16</v>
      </c>
      <c r="H3" s="99">
        <v>0.71</v>
      </c>
      <c r="I3" s="99">
        <v>0.42</v>
      </c>
      <c r="J3" s="99">
        <v>0.42</v>
      </c>
      <c r="K3" s="99">
        <v>0.46</v>
      </c>
      <c r="L3" s="99">
        <v>0.46</v>
      </c>
      <c r="M3" s="99">
        <v>0.71</v>
      </c>
      <c r="N3" s="99">
        <v>0.71</v>
      </c>
      <c r="T3" s="99">
        <v>0.65</v>
      </c>
      <c r="U3" s="99">
        <v>0.36</v>
      </c>
      <c r="V3" s="99">
        <v>0.36</v>
      </c>
      <c r="W3" s="99">
        <v>0.4</v>
      </c>
      <c r="X3" s="99">
        <v>0.4</v>
      </c>
      <c r="Y3" s="99">
        <v>0.65</v>
      </c>
      <c r="Z3" s="99">
        <v>0.65</v>
      </c>
      <c r="AF3" s="93" t="s">
        <v>389</v>
      </c>
      <c r="AG3" s="93" t="s">
        <v>383</v>
      </c>
      <c r="AH3" s="93" t="s">
        <v>385</v>
      </c>
      <c r="AI3" s="93" t="s">
        <v>384</v>
      </c>
      <c r="AJ3" s="93" t="s">
        <v>386</v>
      </c>
      <c r="AK3" s="93" t="s">
        <v>390</v>
      </c>
      <c r="AL3" s="93" t="s">
        <v>465</v>
      </c>
      <c r="AR3" s="93">
        <v>0</v>
      </c>
      <c r="AS3" s="93">
        <v>0</v>
      </c>
      <c r="AT3" s="93">
        <v>0</v>
      </c>
      <c r="AU3" s="93">
        <v>0</v>
      </c>
      <c r="AV3" s="93">
        <v>0</v>
      </c>
      <c r="AW3" s="93">
        <v>0</v>
      </c>
      <c r="AX3" s="93">
        <v>0</v>
      </c>
      <c r="AY3" s="93">
        <v>0</v>
      </c>
      <c r="AZ3" s="93">
        <v>0</v>
      </c>
      <c r="BA3" s="93">
        <v>0</v>
      </c>
      <c r="BB3" s="93">
        <v>0</v>
      </c>
      <c r="BC3" s="93">
        <v>0</v>
      </c>
      <c r="BM3" s="101" t="s">
        <v>192</v>
      </c>
      <c r="BN3" s="101" t="s">
        <v>193</v>
      </c>
      <c r="BO3" s="101" t="s">
        <v>194</v>
      </c>
      <c r="BP3" s="101"/>
      <c r="BQ3" s="93" t="s">
        <v>491</v>
      </c>
      <c r="XFB3" s="102" t="s">
        <v>158</v>
      </c>
    </row>
    <row r="4" spans="1:743 16382:16384">
      <c r="A4" s="93" t="s">
        <v>422</v>
      </c>
      <c r="B4" s="93" t="s">
        <v>401</v>
      </c>
      <c r="C4" s="94">
        <v>45517.842239999998</v>
      </c>
      <c r="D4" s="93">
        <v>3</v>
      </c>
      <c r="E4" s="93">
        <v>10</v>
      </c>
      <c r="F4" s="93">
        <v>4</v>
      </c>
      <c r="G4" s="93">
        <v>30</v>
      </c>
      <c r="H4" s="99">
        <v>1</v>
      </c>
      <c r="I4" s="99">
        <v>1</v>
      </c>
      <c r="J4" s="99">
        <v>1</v>
      </c>
      <c r="K4" s="99">
        <v>1</v>
      </c>
      <c r="T4" s="99">
        <v>0.5</v>
      </c>
      <c r="U4" s="99">
        <v>0.5</v>
      </c>
      <c r="V4" s="99">
        <v>0.5</v>
      </c>
      <c r="W4" s="99">
        <v>0.8</v>
      </c>
      <c r="AF4" s="93" t="s">
        <v>392</v>
      </c>
      <c r="AG4" s="93" t="s">
        <v>393</v>
      </c>
      <c r="AH4" s="93" t="s">
        <v>381</v>
      </c>
      <c r="AI4" s="93" t="s">
        <v>421</v>
      </c>
      <c r="AR4" s="93">
        <v>-0.1</v>
      </c>
      <c r="AS4" s="93">
        <v>-0.1</v>
      </c>
      <c r="AT4" s="93">
        <v>-0.1</v>
      </c>
      <c r="AU4" s="93">
        <v>-0.1</v>
      </c>
      <c r="AV4" s="93">
        <v>0</v>
      </c>
      <c r="AW4" s="93">
        <v>0</v>
      </c>
      <c r="AX4" s="93">
        <v>0</v>
      </c>
      <c r="AY4" s="93">
        <v>0</v>
      </c>
      <c r="AZ4" s="93">
        <v>0</v>
      </c>
      <c r="BA4" s="93">
        <v>0</v>
      </c>
      <c r="BB4" s="93">
        <v>0</v>
      </c>
      <c r="BC4" s="93">
        <v>0</v>
      </c>
      <c r="BM4" s="101" t="s">
        <v>195</v>
      </c>
      <c r="BN4" s="101" t="s">
        <v>196</v>
      </c>
      <c r="BO4" s="101" t="s">
        <v>194</v>
      </c>
      <c r="BP4" s="101"/>
      <c r="BQ4" s="93" t="s">
        <v>154</v>
      </c>
      <c r="XFB4" s="103"/>
      <c r="XFC4" s="103"/>
      <c r="XFD4" s="103"/>
    </row>
    <row r="5" spans="1:743 16382:16384">
      <c r="A5" s="93" t="s">
        <v>156</v>
      </c>
      <c r="B5" s="93" t="s">
        <v>401</v>
      </c>
      <c r="C5" s="94">
        <v>45017.625079999998</v>
      </c>
      <c r="D5" s="93">
        <v>12</v>
      </c>
      <c r="E5" s="93">
        <v>1</v>
      </c>
      <c r="F5" s="93">
        <v>7</v>
      </c>
      <c r="G5" s="93">
        <v>12</v>
      </c>
      <c r="H5" s="99">
        <v>0.48</v>
      </c>
      <c r="I5" s="99">
        <v>0.54</v>
      </c>
      <c r="J5" s="99">
        <v>0.54</v>
      </c>
      <c r="K5" s="99">
        <v>0.88</v>
      </c>
      <c r="L5" s="99">
        <v>0.88</v>
      </c>
      <c r="M5" s="99">
        <v>0.88</v>
      </c>
      <c r="N5" s="99">
        <v>0.88</v>
      </c>
      <c r="T5" s="99">
        <v>0.42</v>
      </c>
      <c r="U5" s="99">
        <v>0.44</v>
      </c>
      <c r="V5" s="99">
        <v>0.44</v>
      </c>
      <c r="W5" s="99">
        <v>0.78</v>
      </c>
      <c r="X5" s="99">
        <v>0.78</v>
      </c>
      <c r="Y5" s="99">
        <v>0.78</v>
      </c>
      <c r="Z5" s="99">
        <v>0.78</v>
      </c>
      <c r="AF5" s="93" t="s">
        <v>381</v>
      </c>
      <c r="AG5" s="93" t="s">
        <v>402</v>
      </c>
      <c r="AH5" s="93" t="s">
        <v>403</v>
      </c>
      <c r="AI5" s="93" t="s">
        <v>383</v>
      </c>
      <c r="AJ5" s="93" t="s">
        <v>385</v>
      </c>
      <c r="AK5" s="93" t="s">
        <v>384</v>
      </c>
      <c r="AL5" s="93" t="s">
        <v>386</v>
      </c>
      <c r="AR5" s="93">
        <v>0</v>
      </c>
      <c r="AS5" s="93">
        <v>0</v>
      </c>
      <c r="AT5" s="93">
        <v>0</v>
      </c>
      <c r="AU5" s="93">
        <v>0</v>
      </c>
      <c r="AV5" s="93">
        <v>0</v>
      </c>
      <c r="AW5" s="93">
        <v>0</v>
      </c>
      <c r="AX5" s="93">
        <v>0</v>
      </c>
      <c r="AY5" s="93">
        <v>0</v>
      </c>
      <c r="AZ5" s="93">
        <v>0</v>
      </c>
      <c r="BA5" s="93">
        <v>0</v>
      </c>
      <c r="BB5" s="93">
        <v>0</v>
      </c>
      <c r="BC5" s="93">
        <v>0</v>
      </c>
      <c r="BM5" s="93" t="s">
        <v>197</v>
      </c>
      <c r="BN5" s="93" t="s">
        <v>198</v>
      </c>
      <c r="BO5" s="93" t="s">
        <v>194</v>
      </c>
    </row>
    <row r="6" spans="1:743 16382:16384">
      <c r="A6" s="93" t="s">
        <v>466</v>
      </c>
      <c r="B6" s="93" t="s">
        <v>380</v>
      </c>
      <c r="C6" s="94">
        <v>45539.911569999997</v>
      </c>
      <c r="D6" s="93">
        <v>1</v>
      </c>
      <c r="E6" s="93">
        <v>20</v>
      </c>
      <c r="F6" s="93">
        <v>4</v>
      </c>
      <c r="G6" s="93">
        <v>20</v>
      </c>
      <c r="H6" s="99">
        <v>0.74</v>
      </c>
      <c r="I6" s="99">
        <v>0.43</v>
      </c>
      <c r="J6" s="99">
        <v>0.43</v>
      </c>
      <c r="K6" s="99">
        <v>0.48</v>
      </c>
      <c r="T6" s="99">
        <v>0.66</v>
      </c>
      <c r="U6" s="99">
        <v>0.35</v>
      </c>
      <c r="V6" s="99">
        <v>0.35</v>
      </c>
      <c r="W6" s="99">
        <v>0.4</v>
      </c>
      <c r="AF6" s="93" t="s">
        <v>381</v>
      </c>
      <c r="AG6" s="93" t="s">
        <v>383</v>
      </c>
      <c r="AH6" s="93" t="s">
        <v>385</v>
      </c>
      <c r="AI6" s="93" t="s">
        <v>392</v>
      </c>
      <c r="AR6" s="93">
        <v>0</v>
      </c>
      <c r="AS6" s="93">
        <v>0</v>
      </c>
      <c r="AT6" s="93">
        <v>0</v>
      </c>
      <c r="AU6" s="93">
        <v>0</v>
      </c>
      <c r="AV6" s="93">
        <v>0</v>
      </c>
      <c r="AW6" s="93">
        <v>0</v>
      </c>
      <c r="AX6" s="93">
        <v>0</v>
      </c>
      <c r="AY6" s="93">
        <v>0</v>
      </c>
      <c r="AZ6" s="93">
        <v>0</v>
      </c>
      <c r="BA6" s="93">
        <v>0</v>
      </c>
      <c r="BB6" s="93">
        <v>0</v>
      </c>
      <c r="BC6" s="93">
        <v>0</v>
      </c>
      <c r="BM6" s="93" t="s">
        <v>199</v>
      </c>
      <c r="BN6" s="93" t="s">
        <v>200</v>
      </c>
      <c r="BO6" s="93" t="s">
        <v>194</v>
      </c>
    </row>
    <row r="7" spans="1:743 16382:16384">
      <c r="A7" s="93" t="s">
        <v>467</v>
      </c>
      <c r="B7" s="93" t="s">
        <v>380</v>
      </c>
      <c r="C7" s="94">
        <v>45526.783660000001</v>
      </c>
      <c r="D7" s="93">
        <v>1</v>
      </c>
      <c r="E7" s="93">
        <v>22</v>
      </c>
      <c r="F7" s="93">
        <v>5</v>
      </c>
      <c r="G7" s="93">
        <v>22</v>
      </c>
      <c r="H7" s="99">
        <v>0.64</v>
      </c>
      <c r="I7" s="99">
        <v>0.52</v>
      </c>
      <c r="J7" s="99">
        <v>0.52</v>
      </c>
      <c r="K7" s="99">
        <v>0.52</v>
      </c>
      <c r="L7" s="99">
        <v>0.52</v>
      </c>
      <c r="T7" s="99">
        <v>0.54</v>
      </c>
      <c r="U7" s="99">
        <v>0.42</v>
      </c>
      <c r="V7" s="99">
        <v>0.42</v>
      </c>
      <c r="W7" s="99">
        <v>0.42</v>
      </c>
      <c r="X7" s="99">
        <v>0.42</v>
      </c>
      <c r="AF7" s="93" t="s">
        <v>381</v>
      </c>
      <c r="AG7" s="93" t="s">
        <v>385</v>
      </c>
      <c r="AH7" s="93" t="s">
        <v>386</v>
      </c>
      <c r="AI7" s="93" t="s">
        <v>384</v>
      </c>
      <c r="AJ7" s="93" t="s">
        <v>383</v>
      </c>
      <c r="AR7" s="93">
        <v>0</v>
      </c>
      <c r="AS7" s="93">
        <v>0</v>
      </c>
      <c r="AT7" s="93">
        <v>0</v>
      </c>
      <c r="AU7" s="93">
        <v>0</v>
      </c>
      <c r="AV7" s="93">
        <v>0</v>
      </c>
      <c r="AW7" s="93">
        <v>0</v>
      </c>
      <c r="AX7" s="93">
        <v>0</v>
      </c>
      <c r="AY7" s="93">
        <v>0</v>
      </c>
      <c r="AZ7" s="93">
        <v>0</v>
      </c>
      <c r="BA7" s="93">
        <v>0</v>
      </c>
      <c r="BB7" s="93">
        <v>0</v>
      </c>
      <c r="BC7" s="93">
        <v>0</v>
      </c>
      <c r="BM7" s="93" t="s">
        <v>211</v>
      </c>
      <c r="BN7" s="93" t="s">
        <v>212</v>
      </c>
      <c r="BO7" s="93" t="s">
        <v>194</v>
      </c>
    </row>
    <row r="8" spans="1:743 16382:16384">
      <c r="A8" s="93" t="s">
        <v>468</v>
      </c>
      <c r="B8" s="93" t="s">
        <v>380</v>
      </c>
      <c r="C8" s="94">
        <v>45460.933969999998</v>
      </c>
      <c r="D8" s="93">
        <v>1</v>
      </c>
      <c r="E8" s="93">
        <v>10</v>
      </c>
      <c r="F8" s="93">
        <v>5</v>
      </c>
      <c r="G8" s="93">
        <v>10</v>
      </c>
      <c r="H8" s="99">
        <v>0.68</v>
      </c>
      <c r="I8" s="99">
        <v>0.42</v>
      </c>
      <c r="J8" s="99">
        <v>0.42</v>
      </c>
      <c r="K8" s="99">
        <v>0.74</v>
      </c>
      <c r="L8" s="99">
        <v>0.74</v>
      </c>
      <c r="T8" s="99">
        <v>0.6</v>
      </c>
      <c r="U8" s="99">
        <v>0.34</v>
      </c>
      <c r="V8" s="99">
        <v>0.34</v>
      </c>
      <c r="W8" s="99">
        <v>0.66</v>
      </c>
      <c r="X8" s="99">
        <v>0.66</v>
      </c>
      <c r="AF8" s="93" t="s">
        <v>381</v>
      </c>
      <c r="AG8" s="93" t="s">
        <v>385</v>
      </c>
      <c r="AH8" s="93" t="s">
        <v>383</v>
      </c>
      <c r="AI8" s="93" t="s">
        <v>384</v>
      </c>
      <c r="AJ8" s="93" t="s">
        <v>386</v>
      </c>
      <c r="AR8" s="93">
        <v>0</v>
      </c>
      <c r="AS8" s="93">
        <v>0</v>
      </c>
      <c r="AT8" s="93">
        <v>0</v>
      </c>
      <c r="AU8" s="93">
        <v>0</v>
      </c>
      <c r="AV8" s="93">
        <v>0</v>
      </c>
      <c r="AW8" s="93">
        <v>0</v>
      </c>
      <c r="AX8" s="93">
        <v>0</v>
      </c>
      <c r="AY8" s="93">
        <v>0</v>
      </c>
      <c r="AZ8" s="93">
        <v>0</v>
      </c>
      <c r="BA8" s="93">
        <v>0</v>
      </c>
      <c r="BB8" s="93">
        <v>0</v>
      </c>
      <c r="BC8" s="93">
        <v>0</v>
      </c>
      <c r="BM8" s="93" t="s">
        <v>201</v>
      </c>
      <c r="BN8" s="93" t="s">
        <v>202</v>
      </c>
      <c r="BO8" s="93" t="s">
        <v>194</v>
      </c>
    </row>
    <row r="9" spans="1:743 16382:16384">
      <c r="A9" s="93" t="s">
        <v>469</v>
      </c>
      <c r="B9" s="93" t="s">
        <v>380</v>
      </c>
      <c r="C9" s="94">
        <v>45551.674290000003</v>
      </c>
      <c r="D9" s="93">
        <v>1</v>
      </c>
      <c r="E9" s="93">
        <v>10</v>
      </c>
      <c r="F9" s="93">
        <v>1</v>
      </c>
      <c r="G9" s="93">
        <v>10</v>
      </c>
      <c r="H9" s="99">
        <v>0.68</v>
      </c>
      <c r="T9" s="99">
        <v>0.6</v>
      </c>
      <c r="AF9" s="93" t="s">
        <v>381</v>
      </c>
      <c r="AR9" s="93">
        <v>0.18</v>
      </c>
      <c r="AS9" s="93">
        <v>0</v>
      </c>
      <c r="AT9" s="93">
        <v>0</v>
      </c>
      <c r="AU9" s="93">
        <v>0</v>
      </c>
      <c r="AV9" s="93">
        <v>0</v>
      </c>
      <c r="AW9" s="93">
        <v>0</v>
      </c>
      <c r="AX9" s="93">
        <v>0</v>
      </c>
      <c r="AY9" s="93">
        <v>0</v>
      </c>
      <c r="AZ9" s="93">
        <v>0</v>
      </c>
      <c r="BA9" s="93">
        <v>0</v>
      </c>
      <c r="BB9" s="93">
        <v>0</v>
      </c>
      <c r="BC9" s="93">
        <v>0</v>
      </c>
      <c r="BM9" s="93" t="s">
        <v>203</v>
      </c>
      <c r="BN9" s="93" t="s">
        <v>204</v>
      </c>
      <c r="BO9" s="93" t="s">
        <v>194</v>
      </c>
    </row>
    <row r="10" spans="1:743 16382:16384">
      <c r="A10" s="93" t="s">
        <v>470</v>
      </c>
      <c r="B10" s="93" t="s">
        <v>380</v>
      </c>
      <c r="C10" s="94">
        <v>45539.599620000001</v>
      </c>
      <c r="D10" s="93">
        <v>1</v>
      </c>
      <c r="E10" s="93">
        <v>12</v>
      </c>
      <c r="F10" s="93">
        <v>4</v>
      </c>
      <c r="G10" s="93">
        <v>12</v>
      </c>
      <c r="H10" s="99">
        <v>0.8</v>
      </c>
      <c r="I10" s="99">
        <v>0.52</v>
      </c>
      <c r="J10" s="99">
        <v>0.63</v>
      </c>
      <c r="K10" s="99">
        <v>0.63</v>
      </c>
      <c r="T10" s="99">
        <v>0.71</v>
      </c>
      <c r="U10" s="99">
        <v>0.44</v>
      </c>
      <c r="V10" s="99">
        <v>0.55000000000000004</v>
      </c>
      <c r="W10" s="99">
        <v>0.55000000000000004</v>
      </c>
      <c r="AF10" s="93" t="s">
        <v>381</v>
      </c>
      <c r="AG10" s="93" t="s">
        <v>393</v>
      </c>
      <c r="AH10" s="93" t="s">
        <v>384</v>
      </c>
      <c r="AI10" s="93" t="s">
        <v>386</v>
      </c>
      <c r="AR10" s="93">
        <v>0.2</v>
      </c>
      <c r="AS10" s="93">
        <v>0.2</v>
      </c>
      <c r="AT10" s="93">
        <v>0.22</v>
      </c>
      <c r="AU10" s="93">
        <v>0.22</v>
      </c>
      <c r="AV10" s="93">
        <v>0</v>
      </c>
      <c r="AW10" s="93">
        <v>0</v>
      </c>
      <c r="AX10" s="93">
        <v>0</v>
      </c>
      <c r="AY10" s="93">
        <v>0</v>
      </c>
      <c r="AZ10" s="93">
        <v>0</v>
      </c>
      <c r="BA10" s="93">
        <v>0</v>
      </c>
      <c r="BB10" s="93">
        <v>0</v>
      </c>
      <c r="BC10" s="93">
        <v>0</v>
      </c>
      <c r="BM10" s="93" t="s">
        <v>205</v>
      </c>
      <c r="BN10" s="93" t="s">
        <v>206</v>
      </c>
      <c r="BO10" s="93" t="s">
        <v>194</v>
      </c>
    </row>
    <row r="11" spans="1:743 16382:16384">
      <c r="A11" s="93" t="s">
        <v>471</v>
      </c>
      <c r="B11" s="93" t="s">
        <v>380</v>
      </c>
      <c r="C11" s="94">
        <v>45548.945059999998</v>
      </c>
      <c r="D11" s="93">
        <v>2</v>
      </c>
      <c r="E11" s="93">
        <v>10</v>
      </c>
      <c r="F11" s="93">
        <v>3</v>
      </c>
      <c r="G11" s="93">
        <v>20</v>
      </c>
      <c r="H11" s="99">
        <v>0.47</v>
      </c>
      <c r="I11" s="99">
        <v>0.54</v>
      </c>
      <c r="J11" s="99">
        <v>0.54</v>
      </c>
      <c r="T11" s="99">
        <v>0.41</v>
      </c>
      <c r="U11" s="99">
        <v>0.48</v>
      </c>
      <c r="V11" s="99">
        <v>0.48</v>
      </c>
      <c r="AF11" s="93" t="s">
        <v>381</v>
      </c>
      <c r="AG11" s="93" t="s">
        <v>392</v>
      </c>
      <c r="AH11" s="93" t="s">
        <v>393</v>
      </c>
      <c r="AR11" s="93">
        <v>0</v>
      </c>
      <c r="AS11" s="93">
        <v>0</v>
      </c>
      <c r="AT11" s="93">
        <v>0</v>
      </c>
      <c r="AU11" s="93">
        <v>0</v>
      </c>
      <c r="AV11" s="93">
        <v>0</v>
      </c>
      <c r="AW11" s="93">
        <v>0</v>
      </c>
      <c r="AX11" s="93">
        <v>0</v>
      </c>
      <c r="AY11" s="93">
        <v>0</v>
      </c>
      <c r="AZ11" s="93">
        <v>0</v>
      </c>
      <c r="BA11" s="93">
        <v>0</v>
      </c>
      <c r="BB11" s="93">
        <v>0</v>
      </c>
      <c r="BC11" s="93">
        <v>0</v>
      </c>
      <c r="BM11" s="93" t="s">
        <v>207</v>
      </c>
      <c r="BN11" s="93" t="s">
        <v>208</v>
      </c>
      <c r="BO11" s="93" t="s">
        <v>194</v>
      </c>
    </row>
    <row r="12" spans="1:743 16382:16384">
      <c r="A12" s="93" t="s">
        <v>472</v>
      </c>
      <c r="B12" s="93" t="s">
        <v>380</v>
      </c>
      <c r="C12" s="94">
        <v>45551.888679999996</v>
      </c>
      <c r="D12" s="93">
        <v>4</v>
      </c>
      <c r="E12" s="93">
        <v>12</v>
      </c>
      <c r="F12" s="93">
        <v>3</v>
      </c>
      <c r="G12" s="93">
        <v>48</v>
      </c>
      <c r="H12" s="99">
        <v>0.44500000000000001</v>
      </c>
      <c r="I12" s="99">
        <v>0.58499999999999996</v>
      </c>
      <c r="J12" s="99">
        <v>0.58499999999999996</v>
      </c>
      <c r="T12" s="99">
        <v>0.35499999999999998</v>
      </c>
      <c r="U12" s="99">
        <v>0.495</v>
      </c>
      <c r="V12" s="99">
        <v>0.495</v>
      </c>
      <c r="AF12" s="93" t="s">
        <v>381</v>
      </c>
      <c r="AG12" s="93" t="s">
        <v>392</v>
      </c>
      <c r="AH12" s="93" t="s">
        <v>393</v>
      </c>
      <c r="AR12" s="93">
        <v>0.22</v>
      </c>
      <c r="AS12" s="93">
        <v>0.16</v>
      </c>
      <c r="AT12" s="93">
        <v>0.16</v>
      </c>
      <c r="AU12" s="93">
        <v>0</v>
      </c>
      <c r="AV12" s="93">
        <v>0</v>
      </c>
      <c r="AW12" s="93">
        <v>0</v>
      </c>
      <c r="AX12" s="93">
        <v>0</v>
      </c>
      <c r="AY12" s="93">
        <v>0</v>
      </c>
      <c r="AZ12" s="93">
        <v>0</v>
      </c>
      <c r="BA12" s="93">
        <v>0</v>
      </c>
      <c r="BB12" s="93">
        <v>0</v>
      </c>
      <c r="BC12" s="93">
        <v>0</v>
      </c>
      <c r="BM12" s="93" t="s">
        <v>209</v>
      </c>
      <c r="BN12" s="93" t="s">
        <v>210</v>
      </c>
      <c r="BO12" s="93" t="s">
        <v>194</v>
      </c>
    </row>
    <row r="13" spans="1:743 16382:16384">
      <c r="A13" s="93" t="s">
        <v>473</v>
      </c>
      <c r="B13" s="93" t="s">
        <v>380</v>
      </c>
      <c r="C13" s="94">
        <v>45558.171679999999</v>
      </c>
      <c r="D13" s="93">
        <v>1</v>
      </c>
      <c r="E13" s="93">
        <v>18</v>
      </c>
      <c r="F13" s="93">
        <v>5</v>
      </c>
      <c r="G13" s="93">
        <v>18</v>
      </c>
      <c r="H13" s="99">
        <v>0.63</v>
      </c>
      <c r="I13" s="99">
        <v>0.53</v>
      </c>
      <c r="J13" s="99">
        <v>0.51</v>
      </c>
      <c r="K13" s="99">
        <v>0.51</v>
      </c>
      <c r="L13" s="99">
        <v>0.53</v>
      </c>
      <c r="T13" s="99">
        <v>0.55000000000000004</v>
      </c>
      <c r="U13" s="99">
        <v>0.45</v>
      </c>
      <c r="V13" s="99">
        <v>0.43</v>
      </c>
      <c r="W13" s="99">
        <v>0.43</v>
      </c>
      <c r="X13" s="99">
        <v>0.45</v>
      </c>
      <c r="AF13" s="93" t="s">
        <v>381</v>
      </c>
      <c r="AG13" s="93" t="s">
        <v>383</v>
      </c>
      <c r="AH13" s="93" t="s">
        <v>384</v>
      </c>
      <c r="AI13" s="93" t="s">
        <v>386</v>
      </c>
      <c r="AJ13" s="93" t="s">
        <v>385</v>
      </c>
      <c r="AR13" s="93">
        <v>0</v>
      </c>
      <c r="AS13" s="93">
        <v>0</v>
      </c>
      <c r="AT13" s="93">
        <v>0</v>
      </c>
      <c r="AU13" s="93">
        <v>0</v>
      </c>
      <c r="AV13" s="93">
        <v>0</v>
      </c>
      <c r="AW13" s="93">
        <v>0</v>
      </c>
      <c r="AX13" s="93">
        <v>0</v>
      </c>
      <c r="AY13" s="93">
        <v>0</v>
      </c>
      <c r="AZ13" s="93">
        <v>0</v>
      </c>
      <c r="BA13" s="93">
        <v>0</v>
      </c>
      <c r="BB13" s="93">
        <v>0</v>
      </c>
      <c r="BC13" s="93">
        <v>0</v>
      </c>
      <c r="BM13" s="93" t="s">
        <v>214</v>
      </c>
      <c r="BN13" s="93" t="s">
        <v>215</v>
      </c>
      <c r="BO13" s="101" t="s">
        <v>191</v>
      </c>
    </row>
    <row r="14" spans="1:743 16382:16384">
      <c r="A14" s="93" t="s">
        <v>379</v>
      </c>
      <c r="B14" s="93" t="s">
        <v>380</v>
      </c>
      <c r="C14" s="94">
        <v>45286.481670000001</v>
      </c>
      <c r="D14" s="93">
        <v>3</v>
      </c>
      <c r="E14" s="93">
        <v>5</v>
      </c>
      <c r="F14" s="93">
        <v>1</v>
      </c>
      <c r="G14" s="93">
        <v>15</v>
      </c>
      <c r="H14" s="99">
        <v>0.64</v>
      </c>
      <c r="T14" s="99">
        <v>0.54</v>
      </c>
      <c r="AF14" s="93" t="s">
        <v>381</v>
      </c>
      <c r="AR14" s="93">
        <v>0</v>
      </c>
      <c r="AS14" s="93">
        <v>0</v>
      </c>
      <c r="AT14" s="93">
        <v>0</v>
      </c>
      <c r="AU14" s="93">
        <v>0</v>
      </c>
      <c r="AV14" s="93">
        <v>0</v>
      </c>
      <c r="AW14" s="93">
        <v>0</v>
      </c>
      <c r="AX14" s="93">
        <v>0</v>
      </c>
      <c r="AY14" s="93">
        <v>0</v>
      </c>
      <c r="AZ14" s="93">
        <v>0</v>
      </c>
      <c r="BA14" s="93">
        <v>0</v>
      </c>
      <c r="BB14" s="93">
        <v>0</v>
      </c>
      <c r="BC14" s="93">
        <v>0</v>
      </c>
    </row>
    <row r="15" spans="1:743 16382:16384">
      <c r="A15" s="93" t="s">
        <v>382</v>
      </c>
      <c r="B15" s="93" t="s">
        <v>380</v>
      </c>
      <c r="C15" s="94">
        <v>45209.875760000003</v>
      </c>
      <c r="D15" s="93">
        <v>3</v>
      </c>
      <c r="E15" s="93">
        <v>5</v>
      </c>
      <c r="F15" s="93">
        <v>5</v>
      </c>
      <c r="G15" s="93">
        <v>15</v>
      </c>
      <c r="H15" s="99">
        <v>0.59</v>
      </c>
      <c r="I15" s="99">
        <v>0.59</v>
      </c>
      <c r="J15" s="99">
        <v>0.59</v>
      </c>
      <c r="K15" s="99">
        <v>0.59</v>
      </c>
      <c r="L15" s="99">
        <v>0.64</v>
      </c>
      <c r="T15" s="99">
        <v>0.49</v>
      </c>
      <c r="U15" s="99">
        <v>0.49</v>
      </c>
      <c r="V15" s="99">
        <v>0.49</v>
      </c>
      <c r="W15" s="99">
        <v>0.49</v>
      </c>
      <c r="X15" s="99">
        <v>0.54</v>
      </c>
      <c r="AF15" s="93" t="s">
        <v>383</v>
      </c>
      <c r="AG15" s="93" t="s">
        <v>384</v>
      </c>
      <c r="AH15" s="93" t="s">
        <v>385</v>
      </c>
      <c r="AI15" s="93" t="s">
        <v>386</v>
      </c>
      <c r="AJ15" s="93" t="s">
        <v>381</v>
      </c>
      <c r="AR15" s="93">
        <v>0</v>
      </c>
      <c r="AS15" s="93">
        <v>0</v>
      </c>
      <c r="AT15" s="93">
        <v>0</v>
      </c>
      <c r="AU15" s="93">
        <v>0</v>
      </c>
      <c r="AV15" s="93">
        <v>0</v>
      </c>
      <c r="AW15" s="93">
        <v>0</v>
      </c>
      <c r="AX15" s="93">
        <v>0</v>
      </c>
      <c r="AY15" s="93">
        <v>0</v>
      </c>
      <c r="AZ15" s="93">
        <v>0</v>
      </c>
      <c r="BA15" s="93">
        <v>0</v>
      </c>
      <c r="BB15" s="93">
        <v>0</v>
      </c>
      <c r="BC15" s="93">
        <v>0</v>
      </c>
    </row>
    <row r="16" spans="1:743 16382:16384">
      <c r="A16" s="93" t="s">
        <v>387</v>
      </c>
      <c r="B16" s="93" t="s">
        <v>380</v>
      </c>
      <c r="C16" s="94">
        <v>45224.846769999996</v>
      </c>
      <c r="D16" s="93">
        <v>1</v>
      </c>
      <c r="E16" s="93">
        <v>10</v>
      </c>
      <c r="F16" s="93">
        <v>5</v>
      </c>
      <c r="G16" s="93">
        <v>10</v>
      </c>
      <c r="H16" s="99">
        <v>0.53</v>
      </c>
      <c r="I16" s="99">
        <v>0.78</v>
      </c>
      <c r="J16" s="99">
        <v>0.78</v>
      </c>
      <c r="K16" s="99">
        <v>0.78</v>
      </c>
      <c r="L16" s="99">
        <v>0.78</v>
      </c>
      <c r="T16" s="99">
        <v>0.47</v>
      </c>
      <c r="U16" s="99">
        <v>0.69</v>
      </c>
      <c r="V16" s="99">
        <v>0.69</v>
      </c>
      <c r="W16" s="99">
        <v>0.69</v>
      </c>
      <c r="X16" s="99">
        <v>0.69</v>
      </c>
      <c r="AF16" s="93" t="s">
        <v>381</v>
      </c>
      <c r="AG16" s="93" t="s">
        <v>384</v>
      </c>
      <c r="AH16" s="93" t="s">
        <v>386</v>
      </c>
      <c r="AI16" s="93" t="s">
        <v>383</v>
      </c>
      <c r="AJ16" s="93" t="s">
        <v>385</v>
      </c>
      <c r="AR16" s="93">
        <v>0</v>
      </c>
      <c r="AS16" s="93">
        <v>0</v>
      </c>
      <c r="AT16" s="93">
        <v>0</v>
      </c>
      <c r="AU16" s="93">
        <v>0</v>
      </c>
      <c r="AV16" s="93">
        <v>0</v>
      </c>
      <c r="AW16" s="93">
        <v>0</v>
      </c>
      <c r="AX16" s="93">
        <v>0</v>
      </c>
      <c r="AY16" s="93">
        <v>0</v>
      </c>
      <c r="AZ16" s="93">
        <v>0</v>
      </c>
      <c r="BA16" s="93">
        <v>0</v>
      </c>
      <c r="BB16" s="93">
        <v>0</v>
      </c>
      <c r="BC16" s="93">
        <v>0</v>
      </c>
    </row>
    <row r="17" spans="1:55">
      <c r="A17" s="93" t="s">
        <v>388</v>
      </c>
      <c r="B17" s="93" t="s">
        <v>380</v>
      </c>
      <c r="C17" s="94">
        <v>45218.344469999996</v>
      </c>
      <c r="D17" s="93">
        <v>2</v>
      </c>
      <c r="E17" s="93">
        <v>10</v>
      </c>
      <c r="F17" s="93">
        <v>6</v>
      </c>
      <c r="G17" s="93">
        <v>20</v>
      </c>
      <c r="H17" s="99">
        <v>0.44</v>
      </c>
      <c r="I17" s="99">
        <v>0.44</v>
      </c>
      <c r="J17" s="99">
        <v>0.5</v>
      </c>
      <c r="K17" s="99">
        <v>0.5</v>
      </c>
      <c r="L17" s="99">
        <v>0.5</v>
      </c>
      <c r="M17" s="99">
        <v>0.5</v>
      </c>
      <c r="T17" s="99">
        <v>0.38</v>
      </c>
      <c r="U17" s="99">
        <v>0.38</v>
      </c>
      <c r="V17" s="99">
        <v>0.44</v>
      </c>
      <c r="W17" s="99">
        <v>0.44</v>
      </c>
      <c r="X17" s="99">
        <v>0.44</v>
      </c>
      <c r="Y17" s="99">
        <v>0.44</v>
      </c>
      <c r="AF17" s="93" t="s">
        <v>389</v>
      </c>
      <c r="AG17" s="93" t="s">
        <v>390</v>
      </c>
      <c r="AH17" s="93" t="s">
        <v>384</v>
      </c>
      <c r="AI17" s="93" t="s">
        <v>386</v>
      </c>
      <c r="AJ17" s="93" t="s">
        <v>383</v>
      </c>
      <c r="AK17" s="93" t="s">
        <v>385</v>
      </c>
      <c r="AR17" s="93">
        <v>0</v>
      </c>
      <c r="AS17" s="93">
        <v>0</v>
      </c>
      <c r="AT17" s="93">
        <v>0</v>
      </c>
      <c r="AU17" s="93">
        <v>0</v>
      </c>
      <c r="AV17" s="93">
        <v>0</v>
      </c>
      <c r="AW17" s="93">
        <v>0</v>
      </c>
      <c r="AX17" s="93">
        <v>0</v>
      </c>
      <c r="AY17" s="93">
        <v>0</v>
      </c>
      <c r="AZ17" s="93">
        <v>0</v>
      </c>
      <c r="BA17" s="93">
        <v>0</v>
      </c>
      <c r="BB17" s="93">
        <v>0</v>
      </c>
      <c r="BC17" s="93">
        <v>0</v>
      </c>
    </row>
    <row r="18" spans="1:55">
      <c r="A18" s="93" t="s">
        <v>395</v>
      </c>
      <c r="B18" s="93" t="s">
        <v>380</v>
      </c>
      <c r="C18" s="94">
        <v>45203.087189999998</v>
      </c>
      <c r="D18" s="93">
        <v>2</v>
      </c>
      <c r="E18" s="93">
        <v>9</v>
      </c>
      <c r="F18" s="93">
        <v>2</v>
      </c>
      <c r="G18" s="93">
        <v>18</v>
      </c>
      <c r="H18" s="99">
        <v>0.36</v>
      </c>
      <c r="I18" s="99">
        <v>0.36</v>
      </c>
      <c r="T18" s="99">
        <v>0.28999999999999998</v>
      </c>
      <c r="U18" s="99">
        <v>0.28999999999999998</v>
      </c>
      <c r="AF18" s="93" t="s">
        <v>392</v>
      </c>
      <c r="AG18" s="93" t="s">
        <v>393</v>
      </c>
      <c r="AR18" s="93">
        <v>0</v>
      </c>
      <c r="AS18" s="93">
        <v>0</v>
      </c>
      <c r="AT18" s="93">
        <v>0</v>
      </c>
      <c r="AU18" s="93">
        <v>0</v>
      </c>
      <c r="AV18" s="93">
        <v>0</v>
      </c>
      <c r="AW18" s="93">
        <v>0</v>
      </c>
      <c r="AX18" s="93">
        <v>0</v>
      </c>
      <c r="AY18" s="93">
        <v>0</v>
      </c>
      <c r="AZ18" s="93">
        <v>0</v>
      </c>
      <c r="BA18" s="93">
        <v>0</v>
      </c>
      <c r="BB18" s="93">
        <v>0</v>
      </c>
      <c r="BC18" s="93">
        <v>0</v>
      </c>
    </row>
    <row r="19" spans="1:55">
      <c r="A19" s="93" t="s">
        <v>396</v>
      </c>
      <c r="B19" s="93" t="s">
        <v>380</v>
      </c>
      <c r="C19" s="94">
        <v>45224.978519999997</v>
      </c>
      <c r="D19" s="93">
        <v>12</v>
      </c>
      <c r="E19" s="93">
        <v>2</v>
      </c>
      <c r="F19" s="93">
        <v>4</v>
      </c>
      <c r="G19" s="93">
        <v>24</v>
      </c>
      <c r="H19" s="99">
        <v>1.28</v>
      </c>
      <c r="I19" s="99">
        <v>1.28</v>
      </c>
      <c r="J19" s="99">
        <v>1.28</v>
      </c>
      <c r="K19" s="99">
        <v>1.28</v>
      </c>
      <c r="T19" s="99">
        <v>1.18</v>
      </c>
      <c r="U19" s="99">
        <v>1.18</v>
      </c>
      <c r="V19" s="99">
        <v>1.18</v>
      </c>
      <c r="W19" s="99">
        <v>1.18</v>
      </c>
      <c r="AF19" s="93" t="s">
        <v>397</v>
      </c>
      <c r="AG19" s="93" t="s">
        <v>398</v>
      </c>
      <c r="AH19" s="93" t="s">
        <v>397</v>
      </c>
      <c r="AI19" s="93" t="s">
        <v>399</v>
      </c>
      <c r="AR19" s="93">
        <v>0</v>
      </c>
      <c r="AS19" s="93">
        <v>0</v>
      </c>
      <c r="AT19" s="93">
        <v>0</v>
      </c>
      <c r="AU19" s="93">
        <v>0</v>
      </c>
      <c r="AV19" s="93">
        <v>0</v>
      </c>
      <c r="AW19" s="93">
        <v>0</v>
      </c>
      <c r="AX19" s="93">
        <v>0</v>
      </c>
      <c r="AY19" s="93">
        <v>0</v>
      </c>
      <c r="AZ19" s="93">
        <v>0</v>
      </c>
      <c r="BA19" s="93">
        <v>0</v>
      </c>
      <c r="BB19" s="93">
        <v>0</v>
      </c>
      <c r="BC19" s="93">
        <v>0</v>
      </c>
    </row>
    <row r="20" spans="1:55">
      <c r="A20" s="93" t="s">
        <v>400</v>
      </c>
      <c r="B20" s="93" t="s">
        <v>380</v>
      </c>
      <c r="C20" s="94">
        <v>45211.922039999998</v>
      </c>
      <c r="D20" s="93">
        <v>2</v>
      </c>
      <c r="E20" s="93">
        <v>10</v>
      </c>
      <c r="F20" s="93">
        <v>1</v>
      </c>
      <c r="G20" s="93">
        <v>20</v>
      </c>
      <c r="H20" s="99">
        <v>0.44</v>
      </c>
      <c r="T20" s="99">
        <v>0.38</v>
      </c>
      <c r="AF20" s="93" t="s">
        <v>381</v>
      </c>
      <c r="AR20" s="93">
        <v>0</v>
      </c>
      <c r="AS20" s="93">
        <v>0</v>
      </c>
      <c r="AT20" s="93">
        <v>0</v>
      </c>
      <c r="AU20" s="93">
        <v>0</v>
      </c>
      <c r="AV20" s="93">
        <v>0</v>
      </c>
      <c r="AW20" s="93">
        <v>0</v>
      </c>
      <c r="AX20" s="93">
        <v>0</v>
      </c>
      <c r="AY20" s="93">
        <v>0</v>
      </c>
      <c r="AZ20" s="93">
        <v>0</v>
      </c>
      <c r="BA20" s="93">
        <v>0</v>
      </c>
      <c r="BB20" s="93">
        <v>0</v>
      </c>
      <c r="BC20" s="93">
        <v>0</v>
      </c>
    </row>
    <row r="21" spans="1:55">
      <c r="A21" s="93" t="s">
        <v>474</v>
      </c>
      <c r="B21" s="93" t="s">
        <v>380</v>
      </c>
      <c r="C21" s="94">
        <v>45538.870690000003</v>
      </c>
      <c r="D21" s="93">
        <v>1</v>
      </c>
      <c r="E21" s="93">
        <v>16</v>
      </c>
      <c r="F21" s="93">
        <v>7</v>
      </c>
      <c r="G21" s="93">
        <v>16</v>
      </c>
      <c r="H21" s="99">
        <v>0.71</v>
      </c>
      <c r="I21" s="99">
        <v>0.42</v>
      </c>
      <c r="J21" s="99">
        <v>0.42</v>
      </c>
      <c r="K21" s="99">
        <v>0.46</v>
      </c>
      <c r="L21" s="99">
        <v>0.46</v>
      </c>
      <c r="M21" s="99">
        <v>0.71</v>
      </c>
      <c r="N21" s="99">
        <v>0.71</v>
      </c>
      <c r="T21" s="99">
        <v>0.65</v>
      </c>
      <c r="U21" s="99">
        <v>0.36</v>
      </c>
      <c r="V21" s="99">
        <v>0.36</v>
      </c>
      <c r="W21" s="99">
        <v>0.4</v>
      </c>
      <c r="X21" s="99">
        <v>0.4</v>
      </c>
      <c r="Y21" s="99">
        <v>0.65</v>
      </c>
      <c r="Z21" s="99">
        <v>0.65</v>
      </c>
      <c r="AF21" s="93" t="s">
        <v>389</v>
      </c>
      <c r="AG21" s="93" t="s">
        <v>383</v>
      </c>
      <c r="AH21" s="93" t="s">
        <v>385</v>
      </c>
      <c r="AI21" s="93" t="s">
        <v>384</v>
      </c>
      <c r="AJ21" s="93" t="s">
        <v>386</v>
      </c>
      <c r="AK21" s="93" t="s">
        <v>390</v>
      </c>
      <c r="AL21" s="93" t="s">
        <v>465</v>
      </c>
      <c r="AR21" s="93">
        <v>0</v>
      </c>
      <c r="AS21" s="93">
        <v>0</v>
      </c>
      <c r="AT21" s="93">
        <v>0</v>
      </c>
      <c r="AU21" s="93">
        <v>0</v>
      </c>
      <c r="AV21" s="93">
        <v>0</v>
      </c>
      <c r="AW21" s="93">
        <v>0</v>
      </c>
      <c r="AX21" s="93">
        <v>0</v>
      </c>
      <c r="AY21" s="93">
        <v>0</v>
      </c>
      <c r="AZ21" s="93">
        <v>0</v>
      </c>
      <c r="BA21" s="93">
        <v>0</v>
      </c>
      <c r="BB21" s="93">
        <v>0</v>
      </c>
      <c r="BC21" s="93">
        <v>0</v>
      </c>
    </row>
    <row r="22" spans="1:55">
      <c r="A22" s="93" t="s">
        <v>475</v>
      </c>
      <c r="B22" s="93" t="s">
        <v>380</v>
      </c>
      <c r="C22" s="94">
        <v>45548.996379999997</v>
      </c>
      <c r="D22" s="93">
        <v>2</v>
      </c>
      <c r="E22" s="93">
        <v>10</v>
      </c>
      <c r="F22" s="93">
        <v>1</v>
      </c>
      <c r="G22" s="93">
        <v>20</v>
      </c>
      <c r="H22" s="99">
        <v>0.47</v>
      </c>
      <c r="T22" s="99">
        <v>0.41</v>
      </c>
      <c r="AF22" s="93" t="s">
        <v>381</v>
      </c>
      <c r="AR22" s="93">
        <v>0</v>
      </c>
      <c r="AS22" s="93">
        <v>0</v>
      </c>
      <c r="AT22" s="93">
        <v>0</v>
      </c>
      <c r="AU22" s="93">
        <v>0</v>
      </c>
      <c r="AV22" s="93">
        <v>0</v>
      </c>
      <c r="AW22" s="93">
        <v>0</v>
      </c>
      <c r="AX22" s="93">
        <v>0</v>
      </c>
      <c r="AY22" s="93">
        <v>0</v>
      </c>
      <c r="AZ22" s="93">
        <v>0</v>
      </c>
      <c r="BA22" s="93">
        <v>0</v>
      </c>
      <c r="BB22" s="93">
        <v>0</v>
      </c>
      <c r="BC22" s="93">
        <v>0</v>
      </c>
    </row>
    <row r="23" spans="1:55">
      <c r="A23" s="93" t="s">
        <v>476</v>
      </c>
      <c r="B23" s="93" t="s">
        <v>380</v>
      </c>
      <c r="C23" s="94">
        <v>45546.187639999996</v>
      </c>
      <c r="D23" s="93">
        <v>2</v>
      </c>
      <c r="E23" s="93">
        <v>10</v>
      </c>
      <c r="F23" s="93">
        <v>5</v>
      </c>
      <c r="G23" s="93">
        <v>20</v>
      </c>
      <c r="H23" s="99">
        <v>0.45</v>
      </c>
      <c r="I23" s="99">
        <v>0.53</v>
      </c>
      <c r="J23" s="99">
        <v>0.53</v>
      </c>
      <c r="K23" s="99">
        <v>0.53</v>
      </c>
      <c r="L23" s="99">
        <v>0.53</v>
      </c>
      <c r="T23" s="99">
        <v>0.39</v>
      </c>
      <c r="U23" s="99">
        <v>0.4</v>
      </c>
      <c r="V23" s="99">
        <v>0.4</v>
      </c>
      <c r="W23" s="99">
        <v>0.4</v>
      </c>
      <c r="X23" s="99">
        <v>0.4</v>
      </c>
      <c r="AF23" s="93" t="s">
        <v>381</v>
      </c>
      <c r="AG23" s="93" t="s">
        <v>384</v>
      </c>
      <c r="AH23" s="93" t="s">
        <v>386</v>
      </c>
      <c r="AI23" s="93" t="s">
        <v>383</v>
      </c>
      <c r="AJ23" s="93" t="s">
        <v>385</v>
      </c>
      <c r="AR23" s="93">
        <v>-0.01</v>
      </c>
      <c r="AS23" s="93">
        <v>0</v>
      </c>
      <c r="AT23" s="93">
        <v>0</v>
      </c>
      <c r="AU23" s="93">
        <v>0</v>
      </c>
      <c r="AV23" s="93">
        <v>0</v>
      </c>
      <c r="AW23" s="93">
        <v>0</v>
      </c>
      <c r="AX23" s="93">
        <v>0</v>
      </c>
      <c r="AY23" s="93">
        <v>0</v>
      </c>
      <c r="AZ23" s="93">
        <v>0</v>
      </c>
      <c r="BA23" s="93">
        <v>0</v>
      </c>
      <c r="BB23" s="93">
        <v>0</v>
      </c>
      <c r="BC23" s="93">
        <v>0</v>
      </c>
    </row>
    <row r="24" spans="1:55">
      <c r="A24" s="93" t="s">
        <v>477</v>
      </c>
      <c r="B24" s="93" t="s">
        <v>380</v>
      </c>
      <c r="C24" s="94">
        <v>45542.395819999998</v>
      </c>
      <c r="D24" s="93">
        <v>4</v>
      </c>
      <c r="E24" s="93">
        <v>12</v>
      </c>
      <c r="F24" s="93">
        <v>3</v>
      </c>
      <c r="G24" s="93">
        <v>48</v>
      </c>
      <c r="H24" s="99">
        <v>0.39</v>
      </c>
      <c r="I24" s="99">
        <v>0.62</v>
      </c>
      <c r="J24" s="99">
        <v>0.62</v>
      </c>
      <c r="T24" s="99">
        <v>0.33</v>
      </c>
      <c r="U24" s="99">
        <v>0.56000000000000005</v>
      </c>
      <c r="V24" s="99">
        <v>0.56000000000000005</v>
      </c>
      <c r="AF24" s="93" t="s">
        <v>381</v>
      </c>
      <c r="AG24" s="93" t="s">
        <v>392</v>
      </c>
      <c r="AH24" s="93" t="s">
        <v>393</v>
      </c>
      <c r="AR24" s="93">
        <v>0</v>
      </c>
      <c r="AS24" s="93">
        <v>0</v>
      </c>
      <c r="AT24" s="93">
        <v>0</v>
      </c>
      <c r="AU24" s="93">
        <v>0</v>
      </c>
      <c r="AV24" s="93">
        <v>0</v>
      </c>
      <c r="AW24" s="93">
        <v>0</v>
      </c>
      <c r="AX24" s="93">
        <v>0</v>
      </c>
      <c r="AY24" s="93">
        <v>0</v>
      </c>
      <c r="AZ24" s="93">
        <v>0</v>
      </c>
      <c r="BA24" s="93">
        <v>0</v>
      </c>
      <c r="BB24" s="93">
        <v>0</v>
      </c>
      <c r="BC24" s="93">
        <v>0</v>
      </c>
    </row>
    <row r="25" spans="1:55">
      <c r="A25" s="93" t="s">
        <v>478</v>
      </c>
      <c r="B25" s="93" t="s">
        <v>380</v>
      </c>
      <c r="C25" s="94">
        <v>45469.386120000003</v>
      </c>
      <c r="D25" s="93">
        <v>1</v>
      </c>
      <c r="E25" s="93">
        <v>12</v>
      </c>
      <c r="F25" s="93">
        <v>4</v>
      </c>
      <c r="G25" s="93">
        <v>12</v>
      </c>
      <c r="H25" s="99">
        <v>0.52</v>
      </c>
      <c r="I25" s="99">
        <v>0.68</v>
      </c>
      <c r="J25" s="99">
        <v>0.68</v>
      </c>
      <c r="K25" s="99">
        <v>0.81</v>
      </c>
      <c r="T25" s="99">
        <v>0.44</v>
      </c>
      <c r="U25" s="99">
        <v>0.6</v>
      </c>
      <c r="V25" s="99">
        <v>0.6</v>
      </c>
      <c r="W25" s="99">
        <v>0.73</v>
      </c>
      <c r="AF25" s="93" t="s">
        <v>393</v>
      </c>
      <c r="AG25" s="93" t="s">
        <v>386</v>
      </c>
      <c r="AH25" s="93" t="s">
        <v>384</v>
      </c>
      <c r="AI25" s="93" t="s">
        <v>381</v>
      </c>
      <c r="AR25" s="93">
        <v>0</v>
      </c>
      <c r="AS25" s="93">
        <v>0</v>
      </c>
      <c r="AT25" s="93">
        <v>0</v>
      </c>
      <c r="AU25" s="93">
        <v>0</v>
      </c>
      <c r="AV25" s="93">
        <v>0</v>
      </c>
      <c r="AW25" s="93">
        <v>0</v>
      </c>
      <c r="AX25" s="93">
        <v>0</v>
      </c>
      <c r="AY25" s="93">
        <v>0</v>
      </c>
      <c r="AZ25" s="93">
        <v>0</v>
      </c>
      <c r="BA25" s="93">
        <v>0</v>
      </c>
      <c r="BB25" s="93">
        <v>0</v>
      </c>
      <c r="BC25" s="93">
        <v>0</v>
      </c>
    </row>
    <row r="26" spans="1:55">
      <c r="A26" s="93" t="s">
        <v>479</v>
      </c>
      <c r="B26" s="93" t="s">
        <v>380</v>
      </c>
      <c r="C26" s="94">
        <v>45536.310799999999</v>
      </c>
      <c r="D26" s="93">
        <v>1</v>
      </c>
      <c r="E26" s="93">
        <v>16</v>
      </c>
      <c r="F26" s="93">
        <v>1</v>
      </c>
      <c r="G26" s="93">
        <v>16</v>
      </c>
      <c r="H26" s="99">
        <v>0.71</v>
      </c>
      <c r="T26" s="99">
        <v>0.65</v>
      </c>
      <c r="AF26" s="93" t="s">
        <v>390</v>
      </c>
      <c r="AR26" s="93">
        <v>0</v>
      </c>
      <c r="AS26" s="93">
        <v>0</v>
      </c>
      <c r="AT26" s="93">
        <v>0</v>
      </c>
      <c r="AU26" s="93">
        <v>0</v>
      </c>
      <c r="AV26" s="93">
        <v>0</v>
      </c>
      <c r="AW26" s="93">
        <v>0</v>
      </c>
      <c r="AX26" s="93">
        <v>0</v>
      </c>
      <c r="AY26" s="93">
        <v>0</v>
      </c>
      <c r="AZ26" s="93">
        <v>0</v>
      </c>
      <c r="BA26" s="93">
        <v>0</v>
      </c>
      <c r="BB26" s="93">
        <v>0</v>
      </c>
      <c r="BC26" s="93">
        <v>0</v>
      </c>
    </row>
    <row r="27" spans="1:55">
      <c r="A27" s="93" t="s">
        <v>480</v>
      </c>
      <c r="B27" s="93" t="s">
        <v>380</v>
      </c>
      <c r="C27" s="94">
        <v>45526.676330000002</v>
      </c>
      <c r="D27" s="93">
        <v>1</v>
      </c>
      <c r="E27" s="93">
        <v>24</v>
      </c>
      <c r="F27" s="93">
        <v>5</v>
      </c>
      <c r="G27" s="93">
        <v>24</v>
      </c>
      <c r="H27" s="99">
        <v>0.62</v>
      </c>
      <c r="I27" s="99">
        <v>0.52</v>
      </c>
      <c r="J27" s="99">
        <v>0.51</v>
      </c>
      <c r="K27" s="99">
        <v>0.52</v>
      </c>
      <c r="L27" s="99">
        <v>0.52</v>
      </c>
      <c r="T27" s="99">
        <v>0.52</v>
      </c>
      <c r="U27" s="99">
        <v>0.42</v>
      </c>
      <c r="V27" s="99">
        <v>0.41</v>
      </c>
      <c r="W27" s="99">
        <v>0.42</v>
      </c>
      <c r="X27" s="99">
        <v>0.42</v>
      </c>
      <c r="AF27" s="93" t="s">
        <v>381</v>
      </c>
      <c r="AG27" s="93" t="s">
        <v>383</v>
      </c>
      <c r="AH27" s="93" t="s">
        <v>384</v>
      </c>
      <c r="AI27" s="93" t="s">
        <v>386</v>
      </c>
      <c r="AJ27" s="93" t="s">
        <v>385</v>
      </c>
      <c r="AR27" s="93">
        <v>0</v>
      </c>
      <c r="AS27" s="93">
        <v>0</v>
      </c>
      <c r="AT27" s="93">
        <v>0</v>
      </c>
      <c r="AU27" s="93">
        <v>0</v>
      </c>
      <c r="AV27" s="93">
        <v>0</v>
      </c>
      <c r="AW27" s="93">
        <v>0</v>
      </c>
      <c r="AX27" s="93">
        <v>0</v>
      </c>
      <c r="AY27" s="93">
        <v>0</v>
      </c>
      <c r="AZ27" s="93">
        <v>0</v>
      </c>
      <c r="BA27" s="93">
        <v>0</v>
      </c>
      <c r="BB27" s="93">
        <v>0</v>
      </c>
      <c r="BC27" s="93">
        <v>0</v>
      </c>
    </row>
    <row r="28" spans="1:55">
      <c r="A28" s="93" t="s">
        <v>481</v>
      </c>
      <c r="B28" s="93" t="s">
        <v>380</v>
      </c>
      <c r="C28" s="94">
        <v>45527.586600000002</v>
      </c>
      <c r="D28" s="93">
        <v>9</v>
      </c>
      <c r="E28" s="93">
        <v>6</v>
      </c>
      <c r="F28" s="93">
        <v>6</v>
      </c>
      <c r="G28" s="93">
        <v>54</v>
      </c>
      <c r="H28" s="99">
        <v>0.47499999999999998</v>
      </c>
      <c r="I28" s="99">
        <v>0.47</v>
      </c>
      <c r="J28" s="99">
        <v>0.61</v>
      </c>
      <c r="K28" s="99">
        <v>0.47499999999999998</v>
      </c>
      <c r="L28" s="99">
        <v>0.47</v>
      </c>
      <c r="M28" s="99">
        <v>0.61</v>
      </c>
      <c r="T28" s="99">
        <v>0.41499999999999998</v>
      </c>
      <c r="U28" s="99">
        <v>0.41</v>
      </c>
      <c r="V28" s="99">
        <v>0.51</v>
      </c>
      <c r="W28" s="99">
        <v>0.41499999999999998</v>
      </c>
      <c r="X28" s="99">
        <v>0.41</v>
      </c>
      <c r="Y28" s="99">
        <v>0.51</v>
      </c>
      <c r="AF28" s="93" t="s">
        <v>386</v>
      </c>
      <c r="AG28" s="93" t="s">
        <v>385</v>
      </c>
      <c r="AH28" s="93" t="s">
        <v>390</v>
      </c>
      <c r="AI28" s="93" t="s">
        <v>384</v>
      </c>
      <c r="AJ28" s="93" t="s">
        <v>383</v>
      </c>
      <c r="AK28" s="93" t="s">
        <v>389</v>
      </c>
      <c r="AR28" s="93">
        <v>0</v>
      </c>
      <c r="AS28" s="93">
        <v>0</v>
      </c>
      <c r="AT28" s="93">
        <v>0</v>
      </c>
      <c r="AU28" s="93">
        <v>0</v>
      </c>
      <c r="AV28" s="93">
        <v>0</v>
      </c>
      <c r="AW28" s="93">
        <v>0</v>
      </c>
      <c r="AX28" s="93">
        <v>0</v>
      </c>
      <c r="AY28" s="93">
        <v>0</v>
      </c>
      <c r="AZ28" s="93">
        <v>0</v>
      </c>
      <c r="BA28" s="93">
        <v>0</v>
      </c>
      <c r="BB28" s="93">
        <v>0</v>
      </c>
      <c r="BC28" s="93">
        <v>0</v>
      </c>
    </row>
    <row r="29" spans="1:55">
      <c r="A29" s="93" t="s">
        <v>482</v>
      </c>
      <c r="B29" s="93" t="s">
        <v>380</v>
      </c>
      <c r="C29" s="94">
        <v>45449.147989999998</v>
      </c>
      <c r="D29" s="93">
        <v>27</v>
      </c>
      <c r="E29" s="93">
        <v>2</v>
      </c>
      <c r="F29" s="93">
        <v>6</v>
      </c>
      <c r="G29" s="93">
        <v>54</v>
      </c>
      <c r="H29" s="99">
        <v>0.71499999999999997</v>
      </c>
      <c r="I29" s="99">
        <v>0.52</v>
      </c>
      <c r="J29" s="99">
        <v>0.56000000000000005</v>
      </c>
      <c r="K29" s="99">
        <v>0.56000000000000005</v>
      </c>
      <c r="L29" s="99">
        <v>0.52</v>
      </c>
      <c r="M29" s="99">
        <v>0.71499999999999997</v>
      </c>
      <c r="T29" s="99">
        <v>0.66</v>
      </c>
      <c r="U29" s="99">
        <v>0.46</v>
      </c>
      <c r="V29" s="99">
        <v>0.5</v>
      </c>
      <c r="W29" s="99">
        <v>0.5</v>
      </c>
      <c r="X29" s="99">
        <v>0.46</v>
      </c>
      <c r="Y29" s="99">
        <v>0.66</v>
      </c>
      <c r="AF29" s="93" t="s">
        <v>390</v>
      </c>
      <c r="AG29" s="93" t="s">
        <v>385</v>
      </c>
      <c r="AH29" s="93" t="s">
        <v>386</v>
      </c>
      <c r="AI29" s="93" t="s">
        <v>384</v>
      </c>
      <c r="AJ29" s="93" t="s">
        <v>383</v>
      </c>
      <c r="AK29" s="93" t="s">
        <v>389</v>
      </c>
      <c r="AR29" s="93">
        <v>0</v>
      </c>
      <c r="AS29" s="93">
        <v>0</v>
      </c>
      <c r="AT29" s="93">
        <v>0</v>
      </c>
      <c r="AU29" s="93">
        <v>0</v>
      </c>
      <c r="AV29" s="93">
        <v>0</v>
      </c>
      <c r="AW29" s="93">
        <v>0</v>
      </c>
      <c r="AX29" s="93">
        <v>0</v>
      </c>
      <c r="AY29" s="93">
        <v>0</v>
      </c>
      <c r="AZ29" s="93">
        <v>0</v>
      </c>
      <c r="BA29" s="93">
        <v>0</v>
      </c>
      <c r="BB29" s="93">
        <v>0</v>
      </c>
      <c r="BC29" s="93">
        <v>0</v>
      </c>
    </row>
    <row r="30" spans="1:55">
      <c r="A30" s="93" t="s">
        <v>483</v>
      </c>
      <c r="B30" s="93" t="s">
        <v>380</v>
      </c>
      <c r="C30" s="94">
        <v>45512.753960000002</v>
      </c>
      <c r="D30" s="93">
        <v>12</v>
      </c>
      <c r="E30" s="93">
        <v>3</v>
      </c>
      <c r="F30" s="93">
        <v>5</v>
      </c>
      <c r="G30" s="93">
        <v>36</v>
      </c>
      <c r="H30" s="99">
        <v>0.41</v>
      </c>
      <c r="I30" s="99">
        <v>0.51</v>
      </c>
      <c r="J30" s="99">
        <v>0.51</v>
      </c>
      <c r="K30" s="99">
        <v>0.51</v>
      </c>
      <c r="L30" s="99">
        <v>0.51</v>
      </c>
      <c r="T30" s="99">
        <v>0.35</v>
      </c>
      <c r="U30" s="99">
        <v>0.45</v>
      </c>
      <c r="V30" s="99">
        <v>0.45</v>
      </c>
      <c r="W30" s="99">
        <v>0.45</v>
      </c>
      <c r="X30" s="99">
        <v>0.45</v>
      </c>
      <c r="AF30" s="93" t="s">
        <v>381</v>
      </c>
      <c r="AG30" s="93" t="s">
        <v>386</v>
      </c>
      <c r="AH30" s="93" t="s">
        <v>384</v>
      </c>
      <c r="AI30" s="93" t="s">
        <v>385</v>
      </c>
      <c r="AJ30" s="93" t="s">
        <v>383</v>
      </c>
      <c r="AR30" s="93">
        <v>0</v>
      </c>
      <c r="AS30" s="93">
        <v>0</v>
      </c>
      <c r="AT30" s="93">
        <v>0</v>
      </c>
      <c r="AU30" s="93">
        <v>0</v>
      </c>
      <c r="AV30" s="93">
        <v>0</v>
      </c>
      <c r="AW30" s="93">
        <v>0</v>
      </c>
      <c r="AX30" s="93">
        <v>0</v>
      </c>
      <c r="AY30" s="93">
        <v>0</v>
      </c>
      <c r="AZ30" s="93">
        <v>0</v>
      </c>
      <c r="BA30" s="93">
        <v>0</v>
      </c>
      <c r="BB30" s="93">
        <v>0</v>
      </c>
      <c r="BC30" s="93">
        <v>0</v>
      </c>
    </row>
    <row r="31" spans="1:55">
      <c r="A31" s="93" t="s">
        <v>484</v>
      </c>
      <c r="B31" s="93" t="s">
        <v>380</v>
      </c>
      <c r="C31" s="94">
        <v>45441.601759999998</v>
      </c>
      <c r="D31" s="93">
        <v>1</v>
      </c>
      <c r="E31" s="93">
        <v>10</v>
      </c>
      <c r="F31" s="93">
        <v>5</v>
      </c>
      <c r="G31" s="93">
        <v>10</v>
      </c>
      <c r="H31" s="99">
        <v>0.49</v>
      </c>
      <c r="I31" s="99">
        <v>0.78</v>
      </c>
      <c r="J31" s="99">
        <v>0.78</v>
      </c>
      <c r="K31" s="99">
        <v>0.78</v>
      </c>
      <c r="L31" s="99">
        <v>0.78</v>
      </c>
      <c r="T31" s="99">
        <v>0.43</v>
      </c>
      <c r="U31" s="99">
        <v>0.69</v>
      </c>
      <c r="V31" s="99">
        <v>0.69</v>
      </c>
      <c r="W31" s="99">
        <v>0.69</v>
      </c>
      <c r="X31" s="99">
        <v>0.69</v>
      </c>
      <c r="AF31" s="93" t="s">
        <v>381</v>
      </c>
      <c r="AG31" s="93" t="s">
        <v>384</v>
      </c>
      <c r="AH31" s="93" t="s">
        <v>386</v>
      </c>
      <c r="AI31" s="93" t="s">
        <v>383</v>
      </c>
      <c r="AJ31" s="93" t="s">
        <v>385</v>
      </c>
      <c r="AR31" s="93">
        <v>0</v>
      </c>
      <c r="AS31" s="93">
        <v>0</v>
      </c>
      <c r="AT31" s="93">
        <v>0</v>
      </c>
      <c r="AU31" s="93">
        <v>0</v>
      </c>
      <c r="AV31" s="93">
        <v>0</v>
      </c>
      <c r="AW31" s="93">
        <v>0</v>
      </c>
      <c r="AX31" s="93">
        <v>0</v>
      </c>
      <c r="AY31" s="93">
        <v>0</v>
      </c>
      <c r="AZ31" s="93">
        <v>0</v>
      </c>
      <c r="BA31" s="93">
        <v>0</v>
      </c>
      <c r="BB31" s="93">
        <v>0</v>
      </c>
      <c r="BC31" s="93">
        <v>0</v>
      </c>
    </row>
    <row r="32" spans="1:55">
      <c r="A32" s="93" t="s">
        <v>485</v>
      </c>
      <c r="B32" s="93" t="s">
        <v>380</v>
      </c>
      <c r="C32" s="94">
        <v>45462.798239999996</v>
      </c>
      <c r="D32" s="93">
        <v>3</v>
      </c>
      <c r="E32" s="93">
        <v>6</v>
      </c>
      <c r="F32" s="93">
        <v>2</v>
      </c>
      <c r="G32" s="93">
        <v>18</v>
      </c>
      <c r="H32" s="99">
        <v>0.65</v>
      </c>
      <c r="I32" s="99">
        <v>0.65</v>
      </c>
      <c r="T32" s="99">
        <v>0.45</v>
      </c>
      <c r="U32" s="99">
        <v>0.45</v>
      </c>
      <c r="AF32" s="93" t="s">
        <v>398</v>
      </c>
      <c r="AG32" s="93" t="s">
        <v>399</v>
      </c>
      <c r="AR32" s="93">
        <v>0</v>
      </c>
      <c r="AS32" s="93">
        <v>0</v>
      </c>
      <c r="AT32" s="93">
        <v>0</v>
      </c>
      <c r="AU32" s="93">
        <v>0</v>
      </c>
      <c r="AV32" s="93">
        <v>0</v>
      </c>
      <c r="AW32" s="93">
        <v>0</v>
      </c>
      <c r="AX32" s="93">
        <v>0</v>
      </c>
      <c r="AY32" s="93">
        <v>0</v>
      </c>
      <c r="AZ32" s="93">
        <v>0</v>
      </c>
      <c r="BA32" s="93">
        <v>0</v>
      </c>
      <c r="BB32" s="93">
        <v>0</v>
      </c>
      <c r="BC32" s="93">
        <v>0</v>
      </c>
    </row>
    <row r="33" spans="1:55">
      <c r="A33" s="93" t="s">
        <v>486</v>
      </c>
      <c r="B33" s="93" t="s">
        <v>380</v>
      </c>
      <c r="C33" s="94">
        <v>45467.571210000002</v>
      </c>
      <c r="D33" s="93">
        <v>1</v>
      </c>
      <c r="E33" s="93">
        <v>10</v>
      </c>
      <c r="F33" s="93">
        <v>5</v>
      </c>
      <c r="G33" s="93">
        <v>10</v>
      </c>
      <c r="H33" s="99">
        <v>0.68</v>
      </c>
      <c r="I33" s="99">
        <v>0.42</v>
      </c>
      <c r="J33" s="99">
        <v>0.42</v>
      </c>
      <c r="K33" s="99">
        <v>0.71499999999999997</v>
      </c>
      <c r="L33" s="99">
        <v>0.71499999999999997</v>
      </c>
      <c r="T33" s="99">
        <v>0.6</v>
      </c>
      <c r="U33" s="99">
        <v>0.34</v>
      </c>
      <c r="V33" s="99">
        <v>0.34</v>
      </c>
      <c r="W33" s="99">
        <v>0.63500000000000001</v>
      </c>
      <c r="X33" s="99">
        <v>0.63500000000000001</v>
      </c>
      <c r="AF33" s="93" t="s">
        <v>381</v>
      </c>
      <c r="AG33" s="93" t="s">
        <v>383</v>
      </c>
      <c r="AH33" s="93" t="s">
        <v>385</v>
      </c>
      <c r="AI33" s="93" t="s">
        <v>384</v>
      </c>
      <c r="AJ33" s="93" t="s">
        <v>386</v>
      </c>
      <c r="AR33" s="93">
        <v>0</v>
      </c>
      <c r="AS33" s="93">
        <v>0</v>
      </c>
      <c r="AT33" s="93">
        <v>0</v>
      </c>
      <c r="AU33" s="93">
        <v>0</v>
      </c>
      <c r="AV33" s="93">
        <v>0</v>
      </c>
      <c r="AW33" s="93">
        <v>0</v>
      </c>
      <c r="AX33" s="93">
        <v>0</v>
      </c>
      <c r="AY33" s="93">
        <v>0</v>
      </c>
      <c r="AZ33" s="93">
        <v>0</v>
      </c>
      <c r="BA33" s="93">
        <v>0</v>
      </c>
      <c r="BB33" s="93">
        <v>0</v>
      </c>
      <c r="BC33" s="93">
        <v>0</v>
      </c>
    </row>
    <row r="34" spans="1:55">
      <c r="A34" s="93" t="s">
        <v>487</v>
      </c>
      <c r="B34" s="93" t="s">
        <v>380</v>
      </c>
      <c r="C34" s="94">
        <v>45461.046190000001</v>
      </c>
      <c r="D34" s="93">
        <v>1</v>
      </c>
      <c r="E34" s="93">
        <v>10</v>
      </c>
      <c r="F34" s="93">
        <v>2</v>
      </c>
      <c r="G34" s="93">
        <v>10</v>
      </c>
      <c r="H34" s="99">
        <v>0.74</v>
      </c>
      <c r="I34" s="99">
        <v>0.74</v>
      </c>
      <c r="T34" s="99">
        <v>0.66</v>
      </c>
      <c r="U34" s="99">
        <v>0.66</v>
      </c>
      <c r="AF34" s="93" t="s">
        <v>384</v>
      </c>
      <c r="AG34" s="93" t="s">
        <v>386</v>
      </c>
      <c r="AR34" s="93">
        <v>0</v>
      </c>
      <c r="AS34" s="93">
        <v>0</v>
      </c>
      <c r="AT34" s="93">
        <v>0</v>
      </c>
      <c r="AU34" s="93">
        <v>0</v>
      </c>
      <c r="AV34" s="93">
        <v>0</v>
      </c>
      <c r="AW34" s="93">
        <v>0</v>
      </c>
      <c r="AX34" s="93">
        <v>0</v>
      </c>
      <c r="AY34" s="93">
        <v>0</v>
      </c>
      <c r="AZ34" s="93">
        <v>0</v>
      </c>
      <c r="BA34" s="93">
        <v>0</v>
      </c>
      <c r="BB34" s="93">
        <v>0</v>
      </c>
      <c r="BC34" s="93">
        <v>0</v>
      </c>
    </row>
    <row r="35" spans="1:55">
      <c r="A35" s="93" t="s">
        <v>488</v>
      </c>
      <c r="B35" s="93" t="s">
        <v>380</v>
      </c>
      <c r="C35" s="94">
        <v>45378.561520000003</v>
      </c>
      <c r="D35" s="93">
        <v>10</v>
      </c>
      <c r="E35" s="93">
        <v>4</v>
      </c>
      <c r="F35" s="93">
        <v>5</v>
      </c>
      <c r="G35" s="93">
        <v>40</v>
      </c>
      <c r="H35" s="99">
        <v>0.63</v>
      </c>
      <c r="I35" s="99">
        <v>0.5</v>
      </c>
      <c r="J35" s="99">
        <v>0.5</v>
      </c>
      <c r="K35" s="99">
        <v>0.5</v>
      </c>
      <c r="L35" s="99">
        <v>0.5</v>
      </c>
      <c r="T35" s="99">
        <v>0.55000000000000004</v>
      </c>
      <c r="U35" s="99">
        <v>0.42</v>
      </c>
      <c r="V35" s="99">
        <v>0.42</v>
      </c>
      <c r="W35" s="99">
        <v>0.42</v>
      </c>
      <c r="X35" s="99">
        <v>0.42</v>
      </c>
      <c r="AF35" s="93" t="s">
        <v>381</v>
      </c>
      <c r="AG35" s="93" t="s">
        <v>385</v>
      </c>
      <c r="AH35" s="93" t="s">
        <v>386</v>
      </c>
      <c r="AI35" s="93" t="s">
        <v>384</v>
      </c>
      <c r="AJ35" s="93" t="s">
        <v>383</v>
      </c>
      <c r="AR35" s="93">
        <v>0</v>
      </c>
      <c r="AS35" s="93">
        <v>0</v>
      </c>
      <c r="AT35" s="93">
        <v>0</v>
      </c>
      <c r="AU35" s="93">
        <v>0</v>
      </c>
      <c r="AV35" s="93">
        <v>0</v>
      </c>
      <c r="AW35" s="93">
        <v>0</v>
      </c>
      <c r="AX35" s="93">
        <v>0</v>
      </c>
      <c r="AY35" s="93">
        <v>0</v>
      </c>
      <c r="AZ35" s="93">
        <v>0</v>
      </c>
      <c r="BA35" s="93">
        <v>0</v>
      </c>
      <c r="BB35" s="93">
        <v>0</v>
      </c>
      <c r="BC35" s="93">
        <v>0</v>
      </c>
    </row>
    <row r="36" spans="1:55">
      <c r="A36" s="93" t="s">
        <v>489</v>
      </c>
      <c r="B36" s="93" t="s">
        <v>380</v>
      </c>
      <c r="C36" s="94">
        <v>45458.55616</v>
      </c>
      <c r="D36" s="93">
        <v>1</v>
      </c>
      <c r="E36" s="93">
        <v>10</v>
      </c>
      <c r="F36" s="93">
        <v>4</v>
      </c>
      <c r="G36" s="93">
        <v>10</v>
      </c>
      <c r="H36" s="99">
        <v>0.68</v>
      </c>
      <c r="I36" s="99">
        <v>0.42</v>
      </c>
      <c r="J36" s="99">
        <v>0.71499999999999997</v>
      </c>
      <c r="K36" s="99">
        <v>0.71499999999999997</v>
      </c>
      <c r="T36" s="99">
        <v>0.6</v>
      </c>
      <c r="U36" s="99">
        <v>0.34</v>
      </c>
      <c r="V36" s="99">
        <v>0.63500000000000001</v>
      </c>
      <c r="W36" s="99">
        <v>0.63500000000000001</v>
      </c>
      <c r="AF36" s="93" t="s">
        <v>381</v>
      </c>
      <c r="AG36" s="93" t="s">
        <v>393</v>
      </c>
      <c r="AH36" s="93" t="s">
        <v>384</v>
      </c>
      <c r="AI36" s="93" t="s">
        <v>386</v>
      </c>
      <c r="AR36" s="93">
        <v>0</v>
      </c>
      <c r="AS36" s="93">
        <v>0</v>
      </c>
      <c r="AT36" s="93">
        <v>0</v>
      </c>
      <c r="AU36" s="93">
        <v>0</v>
      </c>
      <c r="AV36" s="93">
        <v>0</v>
      </c>
      <c r="AW36" s="93">
        <v>0</v>
      </c>
      <c r="AX36" s="93">
        <v>0</v>
      </c>
      <c r="AY36" s="93">
        <v>0</v>
      </c>
      <c r="AZ36" s="93">
        <v>0</v>
      </c>
      <c r="BA36" s="93">
        <v>0</v>
      </c>
      <c r="BB36" s="93">
        <v>0</v>
      </c>
      <c r="BC36" s="93">
        <v>0</v>
      </c>
    </row>
    <row r="1048575" spans="16383:16383">
      <c r="XFC1048575" s="93" t="s">
        <v>490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D10" sqref="D10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426</v>
      </c>
      <c r="F1" s="28" t="s">
        <v>404</v>
      </c>
      <c r="G1" s="25" t="s">
        <v>154</v>
      </c>
      <c r="H1" s="25">
        <v>1</v>
      </c>
      <c r="I1" s="29" t="s">
        <v>495</v>
      </c>
      <c r="J1" s="25" t="s">
        <v>144</v>
      </c>
      <c r="K1" s="25" t="s">
        <v>496</v>
      </c>
      <c r="L1" s="25" t="s">
        <v>497</v>
      </c>
    </row>
    <row r="2" spans="1:12">
      <c r="A2" s="19">
        <v>1111</v>
      </c>
      <c r="B2" s="19">
        <v>112</v>
      </c>
      <c r="C2" s="20" t="str">
        <f>IF(AND(A2&lt;&gt;"",B2&lt;&gt;""),IF(OR(A2&lt;0.002,B2-A2&lt;0),"NG Zero Set",ROUNDUP(B2-A2,3)),"")</f>
        <v>NG Zero Set</v>
      </c>
      <c r="D2" s="26"/>
      <c r="H2" s="19"/>
    </row>
    <row r="3" spans="1:12">
      <c r="A3" s="19">
        <v>1</v>
      </c>
      <c r="B3" s="19">
        <v>3</v>
      </c>
      <c r="C3" s="20">
        <f t="shared" ref="C3:C29" si="0">IF(AND(A3&lt;&gt;"",B3&lt;&gt;""),IF(OR(A3&lt;0.002,B3-A3&lt;0),"NG Zero Set",ROUNDUP(B3-A3,3)),"")</f>
        <v>2</v>
      </c>
      <c r="D3" s="26"/>
      <c r="F3" s="19"/>
      <c r="G3" s="19"/>
      <c r="H3" s="19"/>
    </row>
    <row r="4" spans="1:12">
      <c r="A4" s="19">
        <v>3</v>
      </c>
      <c r="B4" s="19">
        <v>3</v>
      </c>
      <c r="C4" s="20">
        <f t="shared" si="0"/>
        <v>0</v>
      </c>
      <c r="D4" s="26"/>
      <c r="G4" s="23"/>
      <c r="H4" s="19"/>
    </row>
    <row r="5" spans="1:12">
      <c r="A5" s="19">
        <v>2</v>
      </c>
      <c r="B5" s="19">
        <v>3</v>
      </c>
      <c r="C5" s="20">
        <f t="shared" si="0"/>
        <v>1</v>
      </c>
      <c r="D5" s="26"/>
      <c r="F5" s="23"/>
      <c r="G5" s="23"/>
      <c r="H5" s="19"/>
    </row>
    <row r="6" spans="1:12">
      <c r="A6" s="19">
        <v>2</v>
      </c>
      <c r="B6" s="19">
        <v>3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2</v>
      </c>
      <c r="B7" s="19">
        <v>3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2</v>
      </c>
      <c r="B8" s="19">
        <v>3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2</v>
      </c>
      <c r="B9" s="19">
        <v>3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2</v>
      </c>
      <c r="B10" s="19">
        <v>3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2</v>
      </c>
      <c r="B11" s="19">
        <v>3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2</v>
      </c>
      <c r="B12" s="19">
        <v>3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2</v>
      </c>
      <c r="B13" s="19">
        <v>3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>
        <v>2</v>
      </c>
      <c r="B14" s="19">
        <v>3</v>
      </c>
      <c r="C14" s="20">
        <f t="shared" si="0"/>
        <v>1</v>
      </c>
      <c r="D14" s="26"/>
      <c r="G14" s="23"/>
      <c r="H14" s="23"/>
      <c r="I14" s="19"/>
    </row>
    <row r="15" spans="1:12">
      <c r="A15" s="19">
        <v>2</v>
      </c>
      <c r="B15" s="19">
        <v>3</v>
      </c>
      <c r="C15" s="20">
        <f t="shared" si="0"/>
        <v>1</v>
      </c>
      <c r="D15" s="26"/>
      <c r="G15" s="23"/>
      <c r="H15" s="23"/>
      <c r="I15" s="19"/>
    </row>
    <row r="16" spans="1:12">
      <c r="A16" s="19">
        <v>2</v>
      </c>
      <c r="B16" s="19">
        <v>3</v>
      </c>
      <c r="C16" s="20">
        <f t="shared" si="0"/>
        <v>1</v>
      </c>
      <c r="D16" s="26"/>
      <c r="G16" s="23"/>
      <c r="H16" s="23"/>
      <c r="I16" s="19"/>
    </row>
    <row r="17" spans="1:9">
      <c r="A17" s="19">
        <v>2</v>
      </c>
      <c r="B17" s="19">
        <v>3</v>
      </c>
      <c r="C17" s="20">
        <f t="shared" si="0"/>
        <v>1</v>
      </c>
      <c r="D17" s="26"/>
      <c r="G17" s="23"/>
      <c r="H17" s="23"/>
      <c r="I17" s="19"/>
    </row>
    <row r="18" spans="1:9">
      <c r="A18" s="19">
        <v>1</v>
      </c>
      <c r="B18" s="19">
        <v>3</v>
      </c>
      <c r="C18" s="20">
        <f t="shared" si="0"/>
        <v>2</v>
      </c>
      <c r="D18" s="26"/>
      <c r="G18" s="23"/>
      <c r="H18" s="23"/>
      <c r="I18" s="19"/>
    </row>
    <row r="19" spans="1:9">
      <c r="A19" s="19">
        <v>3</v>
      </c>
      <c r="B19" s="19">
        <v>3</v>
      </c>
      <c r="C19" s="20">
        <f t="shared" si="0"/>
        <v>0</v>
      </c>
      <c r="D19" s="26"/>
      <c r="G19" s="23"/>
      <c r="H19" s="23"/>
      <c r="I19" s="19"/>
    </row>
    <row r="20" spans="1:9">
      <c r="A20" s="19">
        <v>2</v>
      </c>
      <c r="B20" s="19">
        <v>3</v>
      </c>
      <c r="C20" s="20">
        <f t="shared" si="0"/>
        <v>1</v>
      </c>
      <c r="D20" s="26"/>
      <c r="G20" s="23"/>
      <c r="H20" s="23"/>
      <c r="I20" s="19"/>
    </row>
    <row r="21" spans="1:9">
      <c r="A21" s="19">
        <v>1</v>
      </c>
      <c r="B21" s="19">
        <v>3</v>
      </c>
      <c r="C21" s="20">
        <f t="shared" si="0"/>
        <v>2</v>
      </c>
      <c r="D21" s="26"/>
      <c r="G21" s="23"/>
      <c r="H21" s="23"/>
      <c r="I21" s="19"/>
    </row>
    <row r="22" spans="1:9">
      <c r="A22" s="19">
        <v>2</v>
      </c>
      <c r="B22" s="19">
        <v>3</v>
      </c>
      <c r="C22" s="20">
        <f t="shared" si="0"/>
        <v>1</v>
      </c>
      <c r="D22" s="26"/>
      <c r="G22" s="23"/>
      <c r="H22" s="23"/>
      <c r="I22" s="19"/>
    </row>
    <row r="23" spans="1:9">
      <c r="A23" s="19">
        <v>2</v>
      </c>
      <c r="B23" s="19">
        <v>3</v>
      </c>
      <c r="C23" s="20">
        <f t="shared" si="0"/>
        <v>1</v>
      </c>
      <c r="D23" s="26"/>
      <c r="G23" s="23"/>
      <c r="H23" s="23"/>
      <c r="I23" s="19"/>
    </row>
    <row r="24" spans="1:9">
      <c r="A24" s="19">
        <v>2</v>
      </c>
      <c r="B24" s="19">
        <v>3</v>
      </c>
      <c r="C24" s="20">
        <f t="shared" si="0"/>
        <v>1</v>
      </c>
      <c r="D24" s="26"/>
      <c r="G24" s="23"/>
      <c r="H24" s="23"/>
      <c r="I24" s="19"/>
    </row>
    <row r="25" spans="1:9">
      <c r="A25" s="19">
        <v>2</v>
      </c>
      <c r="B25" s="19">
        <v>3</v>
      </c>
      <c r="C25" s="20">
        <f t="shared" si="0"/>
        <v>1</v>
      </c>
      <c r="D25" s="26"/>
      <c r="G25" s="23"/>
      <c r="H25" s="23"/>
      <c r="I25" s="19"/>
    </row>
    <row r="26" spans="1:9">
      <c r="A26" s="19">
        <v>2</v>
      </c>
      <c r="B26" s="19">
        <v>3</v>
      </c>
      <c r="C26" s="20">
        <f t="shared" si="0"/>
        <v>1</v>
      </c>
      <c r="D26" s="26"/>
      <c r="G26" s="23"/>
      <c r="H26" s="23"/>
      <c r="I26" s="19"/>
    </row>
    <row r="27" spans="1:9">
      <c r="A27" s="19">
        <v>2</v>
      </c>
      <c r="B27" s="19">
        <v>3</v>
      </c>
      <c r="C27" s="20">
        <f t="shared" si="0"/>
        <v>1</v>
      </c>
      <c r="D27" s="26"/>
      <c r="G27" s="23"/>
      <c r="H27" s="23"/>
      <c r="I27" s="19"/>
    </row>
    <row r="28" spans="1:9">
      <c r="A28" s="19">
        <v>2</v>
      </c>
      <c r="B28" s="19">
        <v>3</v>
      </c>
      <c r="C28" s="20">
        <f t="shared" si="0"/>
        <v>1</v>
      </c>
      <c r="D28" s="26"/>
      <c r="G28" s="23"/>
      <c r="H28" s="23"/>
      <c r="I28" s="19"/>
    </row>
    <row r="29" spans="1:9">
      <c r="A29" s="19">
        <v>2</v>
      </c>
      <c r="B29" s="19">
        <v>3</v>
      </c>
      <c r="C29" s="20">
        <f t="shared" si="0"/>
        <v>1</v>
      </c>
      <c r="D29" s="26"/>
      <c r="G29" s="23"/>
      <c r="H29" s="23"/>
      <c r="I29" s="19"/>
    </row>
    <row r="30" spans="1:9">
      <c r="A30" s="19"/>
      <c r="C30" s="20"/>
      <c r="D30" s="26"/>
    </row>
    <row r="31" spans="1:9">
      <c r="A31" s="19"/>
      <c r="C31" s="20"/>
      <c r="D31" s="26"/>
    </row>
    <row r="32" spans="1:9">
      <c r="A32" s="19"/>
      <c r="C32" s="20"/>
      <c r="D32" s="26"/>
    </row>
    <row r="33" spans="1:4">
      <c r="A33" s="19"/>
      <c r="C33" s="20"/>
      <c r="D33" s="26"/>
    </row>
    <row r="34" spans="1:4">
      <c r="A34" s="19"/>
      <c r="C34" s="20"/>
      <c r="D34" s="26"/>
    </row>
    <row r="35" spans="1:4">
      <c r="A35" s="19"/>
      <c r="C35" s="20"/>
      <c r="D35" s="26"/>
    </row>
    <row r="36" spans="1:4">
      <c r="A36" s="19"/>
      <c r="C36" s="20"/>
      <c r="D36" s="26"/>
    </row>
    <row r="37" spans="1:4">
      <c r="A37" s="19"/>
      <c r="C37" s="20"/>
      <c r="D37" s="26"/>
    </row>
    <row r="38" spans="1:4">
      <c r="A38" s="19"/>
      <c r="C38" s="20"/>
      <c r="D38" s="26"/>
    </row>
    <row r="39" spans="1:4">
      <c r="A39" s="19"/>
      <c r="C39" s="20"/>
      <c r="D39" s="26"/>
    </row>
    <row r="40" spans="1:4">
      <c r="A40" s="19"/>
      <c r="C40" s="20"/>
      <c r="D40" s="26"/>
    </row>
    <row r="41" spans="1:4">
      <c r="A41" s="19"/>
      <c r="C41" s="20"/>
      <c r="D41" s="26"/>
    </row>
    <row r="42" spans="1:4">
      <c r="A42" s="19"/>
      <c r="C42" s="20"/>
      <c r="D42" s="26"/>
    </row>
    <row r="43" spans="1:4">
      <c r="A43" s="19"/>
      <c r="C43" s="20"/>
      <c r="D43" s="26"/>
    </row>
    <row r="44" spans="1:4">
      <c r="A44" s="19"/>
      <c r="C44" s="20"/>
      <c r="D44" s="26"/>
    </row>
    <row r="45" spans="1:4">
      <c r="A45" s="19"/>
      <c r="C45" s="20"/>
      <c r="D45" s="26"/>
    </row>
    <row r="46" spans="1:4">
      <c r="A46" s="19"/>
      <c r="C46" s="20"/>
      <c r="D46" s="26"/>
    </row>
    <row r="47" spans="1:4">
      <c r="A47" s="19"/>
      <c r="C47" s="20"/>
      <c r="D47" s="26"/>
    </row>
    <row r="48" spans="1:4">
      <c r="A48" s="19"/>
      <c r="C48" s="20"/>
      <c r="D48" s="26"/>
    </row>
    <row r="49" spans="1:4">
      <c r="A49" s="19"/>
      <c r="C49" s="20"/>
      <c r="D49" s="26"/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7">
      <c r="A65" s="19"/>
      <c r="C65" s="20"/>
      <c r="D65" s="26"/>
    </row>
    <row r="66" spans="1:7">
      <c r="A66" s="19"/>
      <c r="C66" s="20"/>
      <c r="D66" s="26"/>
    </row>
    <row r="67" spans="1:7">
      <c r="A67" s="19"/>
      <c r="C67" s="20"/>
      <c r="D67" s="26"/>
    </row>
    <row r="68" spans="1:7">
      <c r="A68" s="19"/>
      <c r="C68" s="20"/>
      <c r="D68" s="26"/>
    </row>
    <row r="69" spans="1:7">
      <c r="A69" s="19"/>
      <c r="C69" s="20"/>
      <c r="D69" s="26"/>
    </row>
    <row r="70" spans="1:7">
      <c r="A70" s="19"/>
      <c r="C70" s="20"/>
      <c r="D70" s="26"/>
    </row>
    <row r="71" spans="1:7">
      <c r="A71" s="19"/>
      <c r="C71" s="20"/>
      <c r="D71" s="26"/>
    </row>
    <row r="72" spans="1:7">
      <c r="A72" s="19"/>
      <c r="C72" s="20"/>
      <c r="D72" s="26"/>
    </row>
    <row r="73" spans="1:7">
      <c r="A73" s="19"/>
      <c r="C73" s="20"/>
      <c r="D73" s="26"/>
    </row>
    <row r="74" spans="1:7">
      <c r="A74" s="19"/>
      <c r="C74" s="20"/>
      <c r="D74" s="26"/>
    </row>
    <row r="75" spans="1:7">
      <c r="A75" s="19"/>
      <c r="C75" s="20"/>
      <c r="D75" s="26"/>
      <c r="G75">
        <v>16</v>
      </c>
    </row>
    <row r="76" spans="1:7">
      <c r="A76" s="19"/>
      <c r="C76" s="20"/>
      <c r="D76" s="26"/>
      <c r="G76">
        <v>5</v>
      </c>
    </row>
    <row r="77" spans="1:7">
      <c r="A77" s="19"/>
      <c r="C77" s="20"/>
      <c r="D77" s="26"/>
      <c r="G77">
        <f>+G75*G76</f>
        <v>80</v>
      </c>
    </row>
    <row r="78" spans="1:7">
      <c r="A78" s="19"/>
      <c r="C78" s="20"/>
      <c r="D78" s="26"/>
    </row>
    <row r="79" spans="1:7">
      <c r="A79" s="19"/>
      <c r="C79" s="20"/>
      <c r="D79" s="26"/>
    </row>
    <row r="80" spans="1:7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490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3" t="s">
        <v>493</v>
      </c>
      <c r="C2" s="123"/>
      <c r="D2" s="127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3"/>
      <c r="C3" s="123"/>
      <c r="D3" s="127"/>
      <c r="E3" s="76"/>
      <c r="F3" s="76"/>
      <c r="G3" s="76"/>
    </row>
    <row r="4" spans="2:7" ht="28.5" customHeight="1">
      <c r="B4" s="123"/>
      <c r="C4" s="123"/>
      <c r="D4" s="127"/>
      <c r="E4" s="79"/>
      <c r="F4" s="79"/>
      <c r="G4" s="79"/>
    </row>
    <row r="5" spans="2:7" ht="28.5" customHeight="1">
      <c r="B5" s="123" t="s">
        <v>0</v>
      </c>
      <c r="C5" s="123"/>
      <c r="D5" s="31" t="s">
        <v>55</v>
      </c>
      <c r="E5" s="72" t="s">
        <v>223</v>
      </c>
      <c r="F5" s="30" t="s">
        <v>56</v>
      </c>
      <c r="G5" s="30" t="s">
        <v>37</v>
      </c>
    </row>
    <row r="6" spans="2:7" ht="107.25" customHeight="1">
      <c r="B6" s="139" t="s">
        <v>216</v>
      </c>
      <c r="C6" s="140"/>
      <c r="D6" s="78"/>
      <c r="E6" s="78"/>
      <c r="F6" s="78"/>
      <c r="G6" s="78"/>
    </row>
    <row r="7" spans="2:7" ht="28.5" customHeight="1">
      <c r="B7" s="137" t="s">
        <v>217</v>
      </c>
      <c r="C7" s="138"/>
      <c r="D7" s="85" t="s">
        <v>219</v>
      </c>
      <c r="E7" s="85" t="s">
        <v>218</v>
      </c>
      <c r="F7" s="132" t="s">
        <v>220</v>
      </c>
      <c r="G7" s="124" t="s">
        <v>225</v>
      </c>
    </row>
    <row r="8" spans="2:7" ht="21" customHeight="1">
      <c r="B8" s="141" t="s">
        <v>317</v>
      </c>
      <c r="C8" s="142"/>
      <c r="D8" s="90"/>
      <c r="E8" s="90"/>
      <c r="F8" s="132"/>
      <c r="G8" s="125"/>
    </row>
    <row r="9" spans="2:7" ht="21" customHeight="1">
      <c r="B9" s="133" t="s">
        <v>11</v>
      </c>
      <c r="C9" s="134"/>
      <c r="D9" s="83"/>
      <c r="E9" s="83"/>
      <c r="F9" s="132"/>
      <c r="G9" s="125"/>
    </row>
    <row r="10" spans="2:7" ht="21" customHeight="1">
      <c r="B10" s="133" t="s">
        <v>12</v>
      </c>
      <c r="C10" s="134"/>
      <c r="D10" s="84"/>
      <c r="E10" s="84"/>
      <c r="F10" s="132"/>
      <c r="G10" s="125"/>
    </row>
    <row r="11" spans="2:7" ht="21" customHeight="1">
      <c r="B11" s="135" t="s">
        <v>1</v>
      </c>
      <c r="C11" s="136"/>
      <c r="D11" s="82">
        <f>MAX(D19:D20)</f>
        <v>0</v>
      </c>
      <c r="E11" s="82">
        <f>MAX(E19:E20)</f>
        <v>0</v>
      </c>
      <c r="F11" s="132"/>
      <c r="G11" s="125"/>
    </row>
    <row r="12" spans="2:7" ht="21" customHeight="1">
      <c r="B12" s="135" t="s">
        <v>2</v>
      </c>
      <c r="C12" s="136"/>
      <c r="D12" s="82">
        <f>MIN(D19:D20)</f>
        <v>0</v>
      </c>
      <c r="E12" s="82">
        <f>MIN(E19:E20)</f>
        <v>0</v>
      </c>
      <c r="F12" s="132"/>
      <c r="G12" s="125"/>
    </row>
    <row r="13" spans="2:7" ht="21" customHeight="1">
      <c r="B13" s="135" t="s">
        <v>3</v>
      </c>
      <c r="C13" s="136"/>
      <c r="D13" s="82" t="e">
        <f>AVERAGEA(D19:D20)</f>
        <v>#DIV/0!</v>
      </c>
      <c r="E13" s="82" t="e">
        <f>AVERAGEA(E19:E20)</f>
        <v>#DIV/0!</v>
      </c>
      <c r="F13" s="132"/>
      <c r="G13" s="125"/>
    </row>
    <row r="14" spans="2:7" s="73" customFormat="1" ht="21" customHeight="1">
      <c r="B14" s="128" t="s">
        <v>15</v>
      </c>
      <c r="C14" s="129"/>
      <c r="D14" s="74" t="e">
        <f>STDEV(D19:D20)</f>
        <v>#DIV/0!</v>
      </c>
      <c r="E14" s="74" t="e">
        <f>STDEV(E19:E20)</f>
        <v>#DIV/0!</v>
      </c>
      <c r="F14" s="132"/>
      <c r="G14" s="125"/>
    </row>
    <row r="15" spans="2:7" s="73" customFormat="1" ht="21" customHeight="1">
      <c r="B15" s="128" t="s">
        <v>16</v>
      </c>
      <c r="C15" s="129"/>
      <c r="D15" s="74" t="e">
        <f t="shared" ref="D15" si="0">(D9-D10)/(D14*6)</f>
        <v>#DIV/0!</v>
      </c>
      <c r="E15" s="74" t="e">
        <f t="shared" ref="E15" si="1">(E9-E10)/(E14*6)</f>
        <v>#DIV/0!</v>
      </c>
      <c r="F15" s="132"/>
      <c r="G15" s="125"/>
    </row>
    <row r="16" spans="2:7" s="73" customFormat="1" ht="21" customHeight="1">
      <c r="B16" s="128" t="s">
        <v>17</v>
      </c>
      <c r="C16" s="129"/>
      <c r="D16" s="74" t="e">
        <f>(D13-D10)/(D14*3)</f>
        <v>#DIV/0!</v>
      </c>
      <c r="E16" s="74" t="e">
        <f t="shared" ref="E16" si="2">(E13-E10)/(E14*3)</f>
        <v>#DIV/0!</v>
      </c>
      <c r="F16" s="132"/>
      <c r="G16" s="125"/>
    </row>
    <row r="17" spans="2:7" s="73" customFormat="1" ht="21" customHeight="1">
      <c r="B17" s="130" t="s">
        <v>18</v>
      </c>
      <c r="C17" s="131"/>
      <c r="D17" s="74" t="e">
        <f>(D9-D13)/(D14*3)</f>
        <v>#DIV/0!</v>
      </c>
      <c r="E17" s="74" t="e">
        <f t="shared" ref="E17" si="3">(E9-E13)/(E14*3)</f>
        <v>#DIV/0!</v>
      </c>
      <c r="F17" s="132"/>
      <c r="G17" s="125"/>
    </row>
    <row r="18" spans="2:7" s="73" customFormat="1" ht="21" customHeight="1">
      <c r="B18" s="80" t="s">
        <v>224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2"/>
      <c r="G18" s="126"/>
    </row>
    <row r="19" spans="2:7" ht="21" customHeight="1">
      <c r="B19" s="76" t="s">
        <v>57</v>
      </c>
      <c r="C19" s="76" t="s">
        <v>221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222</v>
      </c>
      <c r="D20" s="77"/>
      <c r="E20" s="77"/>
      <c r="F20" s="91"/>
      <c r="G20" s="77"/>
    </row>
    <row r="21" spans="2:7" ht="6" customHeight="1"/>
  </sheetData>
  <mergeCells count="17"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ListSetupsolder</vt:lpstr>
      <vt:lpstr>ListSetup</vt:lpstr>
      <vt:lpstr>Start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2025-06-23T11:47:14Z</dcterms:modified>
</cp:coreProperties>
</file>