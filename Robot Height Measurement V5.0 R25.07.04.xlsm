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60" state="hidden" r:id="rId3"/>
    <sheet name="ListSetup" sheetId="159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G1" i="159" l="1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2" i="2"/>
  <c r="G77" i="2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<sst xmlns="http://schemas.openxmlformats.org/spreadsheetml/2006/main" count="774" uniqueCount="498">
  <si>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</si>
  <si>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</si>
  <si>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</si>
  <si>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</si>
  <si>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</si>
  <si>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</si>
  <si>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</si>
  <si>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</si>
  <si>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</si>
  <si>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</si>
  <si>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</si>
  <si>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</si>
  <si>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</si>
  <si>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</si>
  <si>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</si>
  <si>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</si>
  <si>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</si>
  <si>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</si>
  <si>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</si>
  <si>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</si>
  <si>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</si>
  <si>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</si>
  <si>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</si>
  <si>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</si>
  <si>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</si>
  <si>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</si>
  <si>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</si>
  <si>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</si>
  <si>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</si>
  <si>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</si>
  <si>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</si>
  <si>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</si>
  <si>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</si>
  <si>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</si>
  <si>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</si>
  <si>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</si>
  <si>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</si>
  <si>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</si>
  <si>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</si>
  <si>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</si>
  <si>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</si>
  <si>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</si>
  <si>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</si>
  <si>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</si>
  <si>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</si>
  <si>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</si>
  <si>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</si>
  <si>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</si>
  <si>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</si>
  <si>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</si>
  <si>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</si>
  <si>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</si>
  <si>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</si>
  <si>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</si>
  <si>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</si>
  <si>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</si>
  <si>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</si>
  <si>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</si>
  <si>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</si>
  <si>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</si>
  <si>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</si>
  <si>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</si>
  <si>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</si>
  <si>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</si>
  <si>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</si>
  <si>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</si>
  <si>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</si>
  <si>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</si>
  <si>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</si>
  <si>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</si>
  <si>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</si>
  <si>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</si>
  <si>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</si>
  <si>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</si>
  <si>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</si>
  <si>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</si>
  <si>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</si>
  <si>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</si>
  <si>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</si>
  <si>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</si>
  <si>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</si>
  <si>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</si>
  <si>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</si>
  <si>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</si>
  <si>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</si>
  <si>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</si>
  <si>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</si>
  <si>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</si>
  <si>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</si>
  <si>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</si>
  <si>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</si>
  <si>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</si>
  <si>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</si>
  <si>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</si>
  <si>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</si>
  <si>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</si>
  <si>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</si>
  <si>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</si>
  <si>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</si>
  <si>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</si>
  <si>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</si>
  <si>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</si>
  <si>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</si>
  <si>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</si>
  <si>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</si>
  <si>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</si>
  <si>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</si>
  <si>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</si>
  <si>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</si>
  <si>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</si>
  <si>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</si>
  <si>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</si>
  <si>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</si>
  <si>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</si>
  <si>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</si>
  <si>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</si>
  <si>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</si>
  <si>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</si>
  <si>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</si>
  <si>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</si>
  <si>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</si>
  <si>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</si>
  <si>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</si>
  <si>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</si>
  <si>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</si>
  <si>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</si>
  <si>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</si>
  <si>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</si>
  <si>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</si>
  <si>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</si>
  <si>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</si>
  <si>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</si>
  <si>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</si>
  <si>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</si>
  <si>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</si>
  <si>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</si>
  <si>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</si>
  <si>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</si>
  <si>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</si>
  <si>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</si>
  <si>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</si>
  <si>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</si>
  <si>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</si>
  <si>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</si>
  <si>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</si>
  <si>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</si>
  <si>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</si>
  <si>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</si>
  <si>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</si>
  <si>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</si>
  <si>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</si>
  <si>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</si>
  <si>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</si>
  <si>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</si>
  <si>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</si>
  <si>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</si>
  <si>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</si>
  <si>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</si>
  <si>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</si>
  <si>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</si>
  <si>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</si>
  <si>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</si>
  <si>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</si>
  <si>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</si>
  <si>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</si>
  <si>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</si>
  <si>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</si>
  <si>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</si>
  <si>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</si>
  <si>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</si>
  <si>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</si>
  <si>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</si>
  <si>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</si>
  <si>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</si>
  <si>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</si>
  <si>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</si>
  <si>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</si>
  <si>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</si>
  <si>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</si>
  <si>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</si>
  <si>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</si>
  <si>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</si>
  <si>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</si>
  <si>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</si>
  <si>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</si>
  <si>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</si>
  <si>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</si>
  <si>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</si>
  <si>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</si>
  <si>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</si>
  <si>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</si>
  <si>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</si>
  <si>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</si>
  <si>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</si>
  <si>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</si>
  <si>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</si>
  <si>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</si>
  <si>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</si>
  <si>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</si>
  <si>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</si>
  <si>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</si>
  <si>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</si>
  <si>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</si>
  <si>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</si>
  <si>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</si>
  <si>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</si>
  <si>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</si>
  <si>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</si>
  <si>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</si>
  <si>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</si>
  <si>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</si>
  <si>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</si>
  <si>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</si>
  <si>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81 80 74 54 51 114 120 102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</si>
  <si>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</si>
  <si>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</si>
  <si>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</si>
  <si>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</si>
  <si>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</si>
  <si>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</si>
  <si>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</si>
  <si>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</si>
  <si>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</si>
  <si>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</si>
  <si>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</si>
  <si>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</si>
  <si>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</si>
  <si>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</si>
  <si>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</si>
  <si>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</si>
  <si>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</si>
  <si>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</si>
  <si>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</si>
  <si>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</si>
  <si>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</si>
  <si>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</si>
  <si>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</si>
  <si>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</si>
  <si>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</si>
  <si>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</si>
  <si>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</si>
  <si>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</si>
  <si>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</si>
  <si>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</si>
  <si>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</si>
  <si>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</si>
  <si>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</si>
  <si>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</si>
  <si>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</si>
  <si>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</si>
  <si>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</si>
  <si>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</si>
  <si>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</si>
  <si>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</si>
  <si>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</si>
  <si>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</si>
  <si>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</si>
  <si>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</si>
  <si>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</si>
  <si>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</si>
  <si>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</si>
  <si>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</si>
  <si>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</si>
  <si>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</si>
  <si>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</si>
  <si>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</si>
  <si>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</si>
  <si>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</si>
  <si>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</si>
  <si>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</si>
  <si>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</si>
  <si>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</si>
  <si>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</si>
  <si>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</si>
  <si>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</si>
  <si>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</si>
  <si>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</si>
  <si>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</si>
  <si>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</si>
  <si>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</si>
  <si>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</si>
  <si>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</si>
  <si>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</si>
  <si>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</si>
  <si>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</si>
  <si>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</si>
  <si>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</si>
  <si>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</si>
  <si>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</si>
  <si>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</si>
  <si>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</si>
  <si>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</si>
  <si>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</si>
  <si>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</si>
  <si>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</si>
  <si>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</si>
  <si>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</si>
  <si>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</si>
  <si>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</si>
  <si>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</si>
  <si>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</si>
  <si>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</si>
  <si>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</si>
  <si>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</si>
  <si>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</si>
  <si>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</si>
  <si>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</si>
  <si>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</si>
  <si>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</si>
  <si>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</si>
  <si>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</si>
  <si>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</si>
  <si>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</si>
  <si>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</si>
  <si>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</si>
  <si>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</si>
  <si>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</si>
  <si>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</si>
  <si>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</si>
  <si>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</si>
  <si>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</si>
  <si>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</si>
  <si>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</si>
  <si>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</si>
  <si>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</si>
  <si>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</si>
  <si>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</si>
  <si>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</si>
  <si>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</si>
  <si>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</si>
  <si>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</si>
  <si>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</si>
  <si>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</si>
  <si>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</si>
  <si>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</si>
  <si>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</si>
  <si>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</si>
  <si>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</si>
  <si>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</si>
  <si>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</si>
  <si>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</si>
  <si>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</si>
  <si>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</si>
  <si>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</si>
  <si>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</si>
  <si>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</si>
  <si>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</si>
  <si>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</si>
  <si>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</si>
  <si>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</si>
  <si>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</si>
  <si>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</si>
  <si>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</si>
  <si>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</si>
  <si>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</si>
  <si>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</si>
  <si>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</si>
  <si>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</si>
  <si>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</si>
  <si>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</si>
  <si>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</si>
  <si>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</si>
  <si>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</si>
  <si>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</si>
  <si>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</si>
  <si>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</si>
  <si>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</si>
  <si>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</si>
  <si>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</si>
  <si>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</si>
  <si>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</si>
  <si>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</si>
  <si>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</si>
  <si>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</si>
  <si>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</si>
  <si>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</si>
  <si>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</si>
  <si>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</si>
  <si>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</si>
  <si>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</si>
  <si>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</si>
  <si>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</si>
  <si>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</si>
  <si>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</si>
  <si>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</si>
  <si>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</si>
  <si>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</si>
  <si>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</si>
  <si>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</si>
  <si>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</si>
  <si>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</si>
  <si>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</si>
  <si>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</si>
  <si>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</si>
  <si>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</si>
  <si>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</si>
  <si>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</si>
  <si>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</si>
  <si>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</si>
  <si>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</si>
  <si>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</si>
  <si>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</si>
  <si>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</si>
  <si>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</si>
  <si>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</si>
  <si>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</si>
  <si>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</si>
  <si>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</si>
  <si>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</si>
  <si>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</si>
  <si>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</si>
  <si>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</si>
  <si>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</si>
  <si>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</si>
  <si>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</si>
  <si>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</si>
  <si>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</si>
  <si>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</si>
  <si>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</si>
  <si>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</si>
  <si>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</si>
  <si>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</si>
  <si>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</si>
  <si>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</si>
  <si>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</si>
  <si>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</si>
  <si>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</si>
  <si>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</si>
  <si>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 xml:space="preserve"> 04-Oct-2024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</si>
  <si>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</si>
  <si>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</si>
  <si>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</si>
  <si>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</si>
  <si>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</si>
  <si>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</si>
  <si>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</si>
  <si>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</si>
  <si>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</si>
  <si>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</si>
  <si>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</si>
  <si>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</si>
  <si>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</si>
  <si>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</si>
  <si>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</si>
  <si>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</si>
  <si>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</si>
  <si>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</si>
  <si>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</si>
  <si>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</si>
  <si>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</si>
  <si>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</si>
  <si>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</si>
  <si>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</si>
  <si>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</si>
  <si>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</si>
  <si>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</si>
  <si>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</si>
  <si>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</si>
  <si>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</si>
  <si>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</si>
  <si>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</si>
  <si>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</si>
  <si>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</si>
  <si>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</si>
  <si>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</si>
  <si>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</si>
  <si>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</si>
  <si>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</si>
  <si>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</si>
  <si>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</si>
  <si>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</si>
  <si>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</si>
  <si>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</si>
  <si>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</si>
  <si>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</si>
  <si>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</si>
  <si>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</si>
  <si>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</si>
  <si>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</si>
  <si>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</si>
  <si>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</si>
  <si>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</si>
  <si>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</si>
  <si>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</si>
  <si>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</si>
  <si>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</si>
  <si>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</si>
  <si>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</si>
  <si>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</si>
  <si>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</si>
  <si>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</si>
  <si>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SOLDER ZERO BASE</t>
  </si>
  <si>
    <t>Test</t>
  </si>
  <si>
    <t>Photon VINA CO.,LTD</t>
  </si>
  <si>
    <t xml:space="preserve">
Photon VINA CO.,LTD</t>
  </si>
  <si>
    <t xml:space="preserve"> 18-Jun-2025</t>
  </si>
  <si>
    <t xml:space="preserve"> 18-Jun-2025 06 25 16 PM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</si>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</sst>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3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8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0" fillId="0" borderId="0"/>
    <xf numFmtId="0" fontId="9" fillId="0" borderId="0"/>
    <xf numFmtId="0" fontId="12" fillId="0" borderId="0">
      <alignment vertical="center"/>
    </xf>
    <xf numFmtId="3" fontId="21" fillId="0" borderId="0" applyFont="0" applyFill="0" applyBorder="0" applyAlignment="0" applyProtection="0"/>
    <xf numFmtId="0" fontId="8" fillId="0" borderId="0"/>
    <xf numFmtId="0" fontId="7" fillId="0" borderId="0"/>
    <xf numFmtId="0" fontId="7" fillId="0" borderId="0"/>
    <xf numFmtId="0" fontId="6" fillId="0" borderId="0"/>
    <xf numFmtId="0" fontId="5" fillId="0" borderId="0"/>
    <xf numFmtId="0" fontId="24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16" fillId="3" borderId="13" xfId="5" applyNumberFormat="1" applyFont="1" applyFill="1" applyBorder="1" applyAlignment="1">
      <alignment horizontal="center" vertical="center" wrapText="1" shrinkToFit="1"/>
    </xf>
    <xf numFmtId="0" fontId="16" fillId="3" borderId="12" xfId="5" applyFont="1" applyFill="1" applyBorder="1" applyAlignment="1">
      <alignment horizontal="center" vertical="center" wrapText="1" shrinkToFit="1"/>
    </xf>
    <xf numFmtId="0" fontId="16" fillId="3" borderId="4" xfId="5" applyFont="1" applyFill="1" applyBorder="1" applyAlignment="1">
      <alignment horizontal="center" vertical="center" wrapText="1" shrinkToFit="1"/>
    </xf>
    <xf numFmtId="164" fontId="16" fillId="3" borderId="1" xfId="5" applyNumberFormat="1" applyFont="1" applyFill="1" applyBorder="1" applyAlignment="1">
      <alignment horizontal="center" vertical="center" wrapText="1" shrinkToFit="1"/>
    </xf>
    <xf numFmtId="164" fontId="16" fillId="3" borderId="14" xfId="5" applyNumberFormat="1" applyFont="1" applyFill="1" applyBorder="1" applyAlignment="1">
      <alignment horizontal="center" vertical="center" wrapText="1" shrinkToFit="1"/>
    </xf>
    <xf numFmtId="164" fontId="16" fillId="3" borderId="6" xfId="5" applyNumberFormat="1" applyFont="1" applyFill="1" applyBorder="1" applyAlignment="1">
      <alignment horizontal="center" vertical="center" wrapText="1" shrinkToFit="1"/>
    </xf>
    <xf numFmtId="164" fontId="16" fillId="3" borderId="15" xfId="5" applyNumberFormat="1" applyFont="1" applyFill="1" applyBorder="1" applyAlignment="1">
      <alignment horizontal="center" vertical="center" wrapText="1" shrinkToFit="1"/>
    </xf>
    <xf numFmtId="164" fontId="16" fillId="3" borderId="36" xfId="5" applyNumberFormat="1" applyFont="1" applyFill="1" applyBorder="1" applyAlignment="1">
      <alignment horizontal="center" vertical="center" wrapText="1" shrinkToFit="1"/>
    </xf>
    <xf numFmtId="0" fontId="16" fillId="3" borderId="1" xfId="5" applyFont="1" applyFill="1" applyBorder="1" applyAlignment="1">
      <alignment horizontal="center" vertical="center" wrapText="1" shrinkToFit="1"/>
    </xf>
    <xf numFmtId="0" fontId="16" fillId="3" borderId="13" xfId="5" applyFont="1" applyFill="1" applyBorder="1" applyAlignment="1">
      <alignment horizontal="center" vertical="center" wrapText="1" shrinkToFit="1"/>
    </xf>
    <xf numFmtId="0" fontId="16" fillId="3" borderId="19" xfId="5" applyFont="1" applyFill="1" applyBorder="1" applyAlignment="1">
      <alignment horizontal="center" vertical="center" wrapText="1" shrinkToFit="1"/>
    </xf>
    <xf numFmtId="0" fontId="14" fillId="3" borderId="17" xfId="5" applyFont="1" applyFill="1" applyBorder="1" applyAlignment="1">
      <alignment horizontal="center" vertical="center" wrapText="1"/>
    </xf>
    <xf numFmtId="0" fontId="14" fillId="3" borderId="25" xfId="5" applyFont="1" applyFill="1" applyBorder="1" applyAlignment="1">
      <alignment horizontal="center" vertical="center" wrapText="1"/>
    </xf>
    <xf numFmtId="0" fontId="19" fillId="6" borderId="35" xfId="5" applyFont="1" applyFill="1" applyBorder="1" applyAlignment="1">
      <alignment horizontal="center" vertical="center"/>
    </xf>
    <xf numFmtId="0" fontId="19" fillId="6" borderId="21" xfId="5" applyFont="1" applyFill="1" applyBorder="1" applyAlignment="1">
      <alignment horizontal="center" vertical="center"/>
    </xf>
    <xf numFmtId="164" fontId="20" fillId="6" borderId="22" xfId="5" applyNumberFormat="1" applyFont="1" applyFill="1" applyBorder="1" applyAlignment="1">
      <alignment horizontal="center" vertical="center"/>
    </xf>
    <xf numFmtId="164" fontId="20" fillId="6" borderId="23" xfId="5" applyNumberFormat="1" applyFont="1" applyFill="1" applyBorder="1" applyAlignment="1">
      <alignment horizontal="center" vertical="center"/>
    </xf>
    <xf numFmtId="164" fontId="20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3" fillId="0" borderId="0" xfId="0" applyFont="1">
      <alignment vertical="center"/>
    </xf>
    <xf numFmtId="164" fontId="23" fillId="4" borderId="0" xfId="0" applyNumberFormat="1" applyFont="1" applyFill="1">
      <alignment vertical="center"/>
    </xf>
    <xf numFmtId="0" fontId="23" fillId="4" borderId="0" xfId="0" applyFont="1" applyFill="1">
      <alignment vertical="center"/>
    </xf>
    <xf numFmtId="0" fontId="23" fillId="4" borderId="0" xfId="0" applyFont="1" applyFill="1" applyAlignment="1">
      <alignment horizontal="center" vertical="center"/>
    </xf>
    <xf numFmtId="167" fontId="23" fillId="0" borderId="0" xfId="0" applyNumberFormat="1" applyFont="1">
      <alignment vertical="center"/>
    </xf>
    <xf numFmtId="0" fontId="18" fillId="0" borderId="1" xfId="0" applyFont="1" applyBorder="1" applyAlignment="1">
      <alignment vertical="center" wrapText="1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2" fillId="0" borderId="0" xfId="15"/>
    <xf numFmtId="164" fontId="18" fillId="2" borderId="41" xfId="15" applyNumberFormat="1" applyFont="1" applyFill="1" applyBorder="1" applyAlignment="1">
      <alignment horizontal="center" vertical="center"/>
    </xf>
    <xf numFmtId="164" fontId="18" fillId="2" borderId="23" xfId="15" applyNumberFormat="1" applyFont="1" applyFill="1" applyBorder="1" applyAlignment="1">
      <alignment horizontal="center" vertical="center"/>
    </xf>
    <xf numFmtId="164" fontId="18" fillId="2" borderId="40" xfId="15" applyNumberFormat="1" applyFont="1" applyFill="1" applyBorder="1" applyAlignment="1">
      <alignment horizontal="center" vertical="center"/>
    </xf>
    <xf numFmtId="164" fontId="18" fillId="2" borderId="42" xfId="15" applyNumberFormat="1" applyFont="1" applyFill="1" applyBorder="1" applyAlignment="1">
      <alignment horizontal="center" vertical="center"/>
    </xf>
    <xf numFmtId="164" fontId="18" fillId="2" borderId="39" xfId="15" applyNumberFormat="1" applyFont="1" applyFill="1" applyBorder="1" applyAlignment="1">
      <alignment horizontal="center" vertical="center"/>
    </xf>
    <xf numFmtId="0" fontId="17" fillId="5" borderId="18" xfId="15" applyFont="1" applyFill="1" applyBorder="1" applyAlignment="1">
      <alignment horizontal="center" vertical="center"/>
    </xf>
    <xf numFmtId="164" fontId="18" fillId="2" borderId="16" xfId="15" applyNumberFormat="1" applyFont="1" applyFill="1" applyBorder="1" applyAlignment="1">
      <alignment horizontal="center" vertical="center"/>
    </xf>
    <xf numFmtId="164" fontId="18" fillId="2" borderId="1" xfId="15" applyNumberFormat="1" applyFont="1" applyFill="1" applyBorder="1" applyAlignment="1">
      <alignment horizontal="center" vertical="center"/>
    </xf>
    <xf numFmtId="164" fontId="18" fillId="2" borderId="3" xfId="15" applyNumberFormat="1" applyFont="1" applyFill="1" applyBorder="1" applyAlignment="1">
      <alignment horizontal="center" vertical="center"/>
    </xf>
    <xf numFmtId="164" fontId="18" fillId="2" borderId="37" xfId="15" applyNumberFormat="1" applyFont="1" applyFill="1" applyBorder="1" applyAlignment="1">
      <alignment horizontal="center" vertical="center"/>
    </xf>
    <xf numFmtId="164" fontId="18" fillId="2" borderId="17" xfId="15" applyNumberFormat="1" applyFont="1" applyFill="1" applyBorder="1" applyAlignment="1">
      <alignment horizontal="center" vertical="center"/>
    </xf>
    <xf numFmtId="0" fontId="17" fillId="5" borderId="17" xfId="15" applyFont="1" applyFill="1" applyBorder="1" applyAlignment="1">
      <alignment horizontal="center" vertical="center"/>
    </xf>
    <xf numFmtId="164" fontId="18" fillId="2" borderId="19" xfId="15" applyNumberFormat="1" applyFont="1" applyFill="1" applyBorder="1" applyAlignment="1">
      <alignment horizontal="center" vertical="center"/>
    </xf>
    <xf numFmtId="164" fontId="18" fillId="2" borderId="2" xfId="15" applyNumberFormat="1" applyFont="1" applyFill="1" applyBorder="1" applyAlignment="1">
      <alignment horizontal="center" vertical="center"/>
    </xf>
    <xf numFmtId="164" fontId="18" fillId="2" borderId="5" xfId="15" applyNumberFormat="1" applyFont="1" applyFill="1" applyBorder="1" applyAlignment="1">
      <alignment horizontal="center" vertical="center"/>
    </xf>
    <xf numFmtId="164" fontId="18" fillId="2" borderId="38" xfId="15" applyNumberFormat="1" applyFont="1" applyFill="1" applyBorder="1" applyAlignment="1">
      <alignment horizontal="center" vertical="center"/>
    </xf>
    <xf numFmtId="164" fontId="18" fillId="2" borderId="18" xfId="15" applyNumberFormat="1" applyFont="1" applyFill="1" applyBorder="1" applyAlignment="1">
      <alignment horizontal="center" vertical="center"/>
    </xf>
    <xf numFmtId="164" fontId="18" fillId="2" borderId="13" xfId="15" applyNumberFormat="1" applyFont="1" applyFill="1" applyBorder="1" applyAlignment="1">
      <alignment horizontal="center" vertical="center"/>
    </xf>
    <xf numFmtId="164" fontId="18" fillId="2" borderId="12" xfId="15" applyNumberFormat="1" applyFont="1" applyFill="1" applyBorder="1" applyAlignment="1">
      <alignment horizontal="center" vertical="center"/>
    </xf>
    <xf numFmtId="0" fontId="17" fillId="5" borderId="25" xfId="15" applyFont="1" applyFill="1" applyBorder="1" applyAlignment="1">
      <alignment horizontal="center" vertical="center"/>
    </xf>
    <xf numFmtId="0" fontId="13" fillId="0" borderId="34" xfId="15" applyFont="1" applyBorder="1" applyAlignment="1">
      <alignment vertical="center" wrapText="1"/>
    </xf>
    <xf numFmtId="0" fontId="13" fillId="0" borderId="33" xfId="15" applyFont="1" applyBorder="1" applyAlignment="1">
      <alignment vertical="center" wrapText="1"/>
    </xf>
    <xf numFmtId="0" fontId="13" fillId="0" borderId="32" xfId="15" applyFont="1" applyBorder="1" applyAlignment="1">
      <alignment vertical="center" wrapText="1"/>
    </xf>
    <xf numFmtId="0" fontId="13" fillId="0" borderId="10" xfId="15" applyFont="1" applyBorder="1" applyAlignment="1">
      <alignment horizontal="center" vertical="center" wrapText="1"/>
    </xf>
    <xf numFmtId="0" fontId="13" fillId="0" borderId="26" xfId="15" applyFont="1" applyBorder="1" applyAlignment="1">
      <alignment vertical="center" wrapText="1"/>
    </xf>
    <xf numFmtId="0" fontId="13" fillId="0" borderId="27" xfId="15" applyFont="1" applyBorder="1" applyAlignment="1">
      <alignment vertical="center" wrapText="1"/>
    </xf>
    <xf numFmtId="0" fontId="13" fillId="0" borderId="28" xfId="15" applyFont="1" applyBorder="1" applyAlignment="1">
      <alignment vertical="center" wrapText="1"/>
    </xf>
    <xf numFmtId="0" fontId="13" fillId="0" borderId="29" xfId="15" applyFont="1" applyBorder="1" applyAlignment="1">
      <alignment horizontal="center" vertical="top" wrapText="1"/>
    </xf>
    <xf numFmtId="0" fontId="13" fillId="0" borderId="30" xfId="15" applyFont="1" applyBorder="1" applyAlignment="1">
      <alignment vertical="center" wrapText="1"/>
    </xf>
    <xf numFmtId="0" fontId="13" fillId="0" borderId="0" xfId="15" applyFont="1" applyAlignment="1">
      <alignment vertical="center" wrapText="1"/>
    </xf>
    <xf numFmtId="0" fontId="13" fillId="0" borderId="20" xfId="15" applyFont="1" applyBorder="1" applyAlignment="1">
      <alignment vertical="center" wrapText="1"/>
    </xf>
    <xf numFmtId="0" fontId="13" fillId="0" borderId="31" xfId="15" applyFont="1" applyBorder="1" applyAlignment="1">
      <alignment horizontal="center" wrapText="1"/>
    </xf>
    <xf numFmtId="14" fontId="13" fillId="0" borderId="31" xfId="15" applyNumberFormat="1" applyFont="1" applyBorder="1" applyAlignment="1">
      <alignment horizontal="center" vertical="top" wrapText="1"/>
    </xf>
    <xf numFmtId="0" fontId="13" fillId="0" borderId="9" xfId="15" applyFont="1" applyBorder="1" applyAlignment="1">
      <alignment vertical="center" wrapText="1"/>
    </xf>
    <xf numFmtId="0" fontId="13" fillId="0" borderId="8" xfId="15" applyFont="1" applyBorder="1" applyAlignment="1">
      <alignment vertical="center" wrapText="1"/>
    </xf>
    <xf numFmtId="0" fontId="13" fillId="0" borderId="7" xfId="15" applyFont="1" applyBorder="1" applyAlignment="1">
      <alignment vertical="center" wrapText="1"/>
    </xf>
    <xf numFmtId="0" fontId="13" fillId="0" borderId="11" xfId="15" applyFont="1" applyBorder="1" applyAlignment="1">
      <alignment horizontal="center" wrapText="1"/>
    </xf>
    <xf numFmtId="0" fontId="22" fillId="0" borderId="34" xfId="15" applyFont="1" applyBorder="1" applyAlignment="1">
      <alignment vertical="center" wrapText="1"/>
    </xf>
    <xf numFmtId="0" fontId="22" fillId="0" borderId="33" xfId="15" applyFont="1" applyBorder="1" applyAlignment="1">
      <alignment vertical="center" wrapText="1"/>
    </xf>
    <xf numFmtId="0" fontId="18" fillId="0" borderId="1" xfId="0" applyFont="1" applyBorder="1" applyAlignment="1">
      <alignment horizontal="left" vertical="center" wrapText="1"/>
    </xf>
    <xf numFmtId="0" fontId="25" fillId="0" borderId="0" xfId="0" applyFont="1" applyAlignment="1"/>
    <xf numFmtId="164" fontId="26" fillId="7" borderId="1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164" fontId="27" fillId="0" borderId="1" xfId="0" applyNumberFormat="1" applyFont="1" applyBorder="1" applyAlignment="1">
      <alignment horizontal="center" vertical="center" wrapText="1"/>
    </xf>
    <xf numFmtId="0" fontId="27" fillId="0" borderId="1" xfId="0" applyFont="1" applyBorder="1" applyAlignment="1">
      <alignment vertical="center" wrapText="1"/>
    </xf>
    <xf numFmtId="16" fontId="27" fillId="0" borderId="1" xfId="0" applyNumberFormat="1" applyFont="1" applyBorder="1" applyAlignment="1">
      <alignment horizontal="center" vertical="center" wrapText="1"/>
    </xf>
    <xf numFmtId="0" fontId="26" fillId="9" borderId="17" xfId="0" applyFont="1" applyFill="1" applyBorder="1" applyAlignment="1">
      <alignment horizontal="right" vertical="center"/>
    </xf>
    <xf numFmtId="2" fontId="26" fillId="9" borderId="4" xfId="0" applyNumberFormat="1" applyFont="1" applyFill="1" applyBorder="1" applyAlignment="1">
      <alignment horizontal="left" vertical="center"/>
    </xf>
    <xf numFmtId="164" fontId="28" fillId="8" borderId="1" xfId="0" applyNumberFormat="1" applyFont="1" applyFill="1" applyBorder="1" applyAlignment="1">
      <alignment horizontal="center" vertical="center" wrapText="1"/>
    </xf>
    <xf numFmtId="0" fontId="28" fillId="3" borderId="1" xfId="0" applyFont="1" applyFill="1" applyBorder="1" applyAlignment="1">
      <alignment horizontal="center" vertical="center" wrapText="1"/>
    </xf>
    <xf numFmtId="2" fontId="28" fillId="3" borderId="1" xfId="0" applyNumberFormat="1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164" fontId="26" fillId="9" borderId="1" xfId="0" applyNumberFormat="1" applyFont="1" applyFill="1" applyBorder="1" applyAlignment="1">
      <alignment horizontal="center" vertical="center"/>
    </xf>
    <xf numFmtId="164" fontId="20" fillId="6" borderId="47" xfId="5" applyNumberFormat="1" applyFont="1" applyFill="1" applyBorder="1" applyAlignment="1">
      <alignment horizontal="center" vertical="center"/>
    </xf>
    <xf numFmtId="164" fontId="20" fillId="6" borderId="48" xfId="5" applyNumberFormat="1" applyFont="1" applyFill="1" applyBorder="1" applyAlignment="1">
      <alignment horizontal="center" vertical="center"/>
    </xf>
    <xf numFmtId="164" fontId="20" fillId="6" borderId="49" xfId="5" applyNumberFormat="1" applyFont="1" applyFill="1" applyBorder="1" applyAlignment="1">
      <alignment horizontal="center" vertical="center"/>
    </xf>
    <xf numFmtId="0" fontId="28" fillId="10" borderId="1" xfId="0" applyFont="1" applyFill="1" applyBorder="1" applyAlignment="1">
      <alignment horizontal="center" vertical="center" wrapText="1"/>
    </xf>
    <xf numFmtId="164" fontId="18" fillId="0" borderId="1" xfId="0" applyNumberFormat="1" applyFont="1" applyBorder="1" applyAlignment="1">
      <alignment horizontal="center" vertical="center" wrapText="1"/>
    </xf>
    <xf numFmtId="0" fontId="27" fillId="0" borderId="6" xfId="0" applyFont="1" applyBorder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30" fillId="0" borderId="0" xfId="0" applyFont="1">
      <alignment vertical="center"/>
    </xf>
    <xf numFmtId="15" fontId="30" fillId="0" borderId="0" xfId="0" applyNumberFormat="1" applyFont="1" applyAlignment="1"/>
    <xf numFmtId="0" fontId="31" fillId="0" borderId="32" xfId="15" applyFont="1" applyBorder="1" applyAlignment="1">
      <alignment horizontal="center" vertical="center" wrapText="1"/>
    </xf>
    <xf numFmtId="15" fontId="32" fillId="0" borderId="0" xfId="0" applyNumberFormat="1" applyFont="1" applyAlignment="1"/>
    <xf numFmtId="0" fontId="30" fillId="0" borderId="0" xfId="16" applyFont="1"/>
    <xf numFmtId="166" fontId="30" fillId="0" borderId="0" xfId="16" applyNumberFormat="1" applyFont="1"/>
    <xf numFmtId="0" fontId="30" fillId="0" borderId="0" xfId="16" quotePrefix="1" applyFont="1"/>
    <xf numFmtId="0" fontId="30" fillId="0" borderId="0" xfId="16" applyFont="1" applyAlignment="1">
      <alignment horizontal="center" vertical="center"/>
    </xf>
    <xf numFmtId="0" fontId="30" fillId="0" borderId="0" xfId="16" applyFont="1" applyAlignment="1">
      <alignment vertical="center"/>
    </xf>
    <xf numFmtId="0" fontId="30" fillId="0" borderId="0" xfId="17" applyFont="1" applyAlignment="1">
      <alignment horizontal="center" vertical="center"/>
    </xf>
    <xf numFmtId="164" fontId="30" fillId="0" borderId="0" xfId="16" applyNumberFormat="1" applyFont="1"/>
    <xf numFmtId="0" fontId="30" fillId="0" borderId="0" xfId="16" applyFont="1" applyAlignment="1">
      <alignment horizontal="center"/>
    </xf>
    <xf numFmtId="0" fontId="30" fillId="0" borderId="0" xfId="17" applyFont="1" applyAlignment="1">
      <alignment horizontal="center"/>
    </xf>
    <xf numFmtId="2" fontId="30" fillId="0" borderId="0" xfId="17" applyNumberFormat="1" applyFont="1" applyAlignment="1">
      <alignment horizontal="center" vertical="center"/>
    </xf>
    <xf numFmtId="0" fontId="30" fillId="0" borderId="0" xfId="17" applyFont="1"/>
    <xf numFmtId="2" fontId="30" fillId="0" borderId="0" xfId="17" applyNumberFormat="1" applyFont="1"/>
    <xf numFmtId="0" fontId="15" fillId="3" borderId="28" xfId="5" applyFont="1" applyFill="1" applyBorder="1" applyAlignment="1">
      <alignment horizontal="center" vertical="center" wrapText="1"/>
    </xf>
    <xf numFmtId="0" fontId="15" fillId="3" borderId="27" xfId="5" applyFont="1" applyFill="1" applyBorder="1" applyAlignment="1">
      <alignment horizontal="center" vertical="center" wrapText="1"/>
    </xf>
    <xf numFmtId="0" fontId="15" fillId="3" borderId="26" xfId="5" applyFont="1" applyFill="1" applyBorder="1" applyAlignment="1">
      <alignment horizontal="center" vertical="center" wrapText="1"/>
    </xf>
    <xf numFmtId="0" fontId="13" fillId="4" borderId="11" xfId="5" applyFont="1" applyFill="1" applyBorder="1" applyAlignment="1">
      <alignment horizontal="center" vertical="center" wrapText="1"/>
    </xf>
    <xf numFmtId="0" fontId="13" fillId="4" borderId="35" xfId="5" applyFont="1" applyFill="1" applyBorder="1" applyAlignment="1">
      <alignment horizontal="center" vertical="center" wrapText="1"/>
    </xf>
    <xf numFmtId="0" fontId="13" fillId="4" borderId="43" xfId="5" applyFont="1" applyFill="1" applyBorder="1" applyAlignment="1">
      <alignment horizontal="center" vertical="center" wrapText="1"/>
    </xf>
    <xf numFmtId="0" fontId="13" fillId="4" borderId="44" xfId="5" applyFont="1" applyFill="1" applyBorder="1" applyAlignment="1">
      <alignment horizontal="center" vertical="center" wrapText="1"/>
    </xf>
    <xf numFmtId="0" fontId="14" fillId="3" borderId="32" xfId="5" applyFont="1" applyFill="1" applyBorder="1" applyAlignment="1">
      <alignment horizontal="center" vertical="center" wrapText="1"/>
    </xf>
    <xf numFmtId="0" fontId="14" fillId="3" borderId="35" xfId="5" applyFont="1" applyFill="1" applyBorder="1" applyAlignment="1">
      <alignment horizontal="center" vertical="center" wrapText="1"/>
    </xf>
    <xf numFmtId="0" fontId="13" fillId="3" borderId="11" xfId="5" applyFont="1" applyFill="1" applyBorder="1" applyAlignment="1">
      <alignment horizontal="center" vertical="center" wrapText="1"/>
    </xf>
    <xf numFmtId="0" fontId="13" fillId="3" borderId="8" xfId="5" applyFont="1" applyFill="1" applyBorder="1" applyAlignment="1">
      <alignment horizontal="center" vertical="center" wrapText="1"/>
    </xf>
    <xf numFmtId="0" fontId="13" fillId="3" borderId="9" xfId="5" applyFont="1" applyFill="1" applyBorder="1" applyAlignment="1">
      <alignment horizontal="center" vertical="center" wrapText="1"/>
    </xf>
    <xf numFmtId="0" fontId="13" fillId="3" borderId="7" xfId="5" applyFont="1" applyFill="1" applyBorder="1" applyAlignment="1">
      <alignment horizontal="center" vertical="center" wrapText="1"/>
    </xf>
    <xf numFmtId="0" fontId="27" fillId="0" borderId="3" xfId="0" applyFont="1" applyBorder="1" applyAlignment="1">
      <alignment horizontal="center" vertical="center" wrapText="1"/>
    </xf>
    <xf numFmtId="0" fontId="27" fillId="0" borderId="4" xfId="0" applyFont="1" applyBorder="1" applyAlignment="1">
      <alignment horizontal="center" vertical="center" wrapText="1"/>
    </xf>
    <xf numFmtId="0" fontId="28" fillId="10" borderId="3" xfId="0" applyFont="1" applyFill="1" applyBorder="1" applyAlignment="1">
      <alignment horizontal="center" vertical="center" wrapText="1"/>
    </xf>
    <xf numFmtId="0" fontId="28" fillId="10" borderId="4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8" fillId="0" borderId="5" xfId="0" applyFont="1" applyBorder="1" applyAlignment="1">
      <alignment horizontal="center" vertical="center" wrapText="1"/>
    </xf>
    <xf numFmtId="0" fontId="28" fillId="0" borderId="45" xfId="0" applyFont="1" applyBorder="1" applyAlignment="1">
      <alignment horizontal="center" vertical="center" wrapText="1"/>
    </xf>
    <xf numFmtId="0" fontId="28" fillId="0" borderId="6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26" fillId="7" borderId="17" xfId="0" applyFont="1" applyFill="1" applyBorder="1" applyAlignment="1">
      <alignment horizontal="center" vertical="center"/>
    </xf>
    <xf numFmtId="0" fontId="26" fillId="7" borderId="4" xfId="0" applyFont="1" applyFill="1" applyBorder="1" applyAlignment="1">
      <alignment horizontal="center" vertical="center"/>
    </xf>
    <xf numFmtId="0" fontId="26" fillId="9" borderId="17" xfId="0" applyFont="1" applyFill="1" applyBorder="1" applyAlignment="1">
      <alignment horizontal="center" vertical="center"/>
    </xf>
    <xf numFmtId="0" fontId="26" fillId="9" borderId="4" xfId="0" applyFont="1" applyFill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0" fontId="28" fillId="3" borderId="3" xfId="0" applyFont="1" applyFill="1" applyBorder="1" applyAlignment="1">
      <alignment horizontal="center" vertical="center" wrapText="1"/>
    </xf>
    <xf numFmtId="0" fontId="28" fillId="3" borderId="4" xfId="0" applyFont="1" applyFill="1" applyBorder="1" applyAlignment="1">
      <alignment horizontal="center" vertical="center" wrapText="1"/>
    </xf>
    <xf numFmtId="0" fontId="28" fillId="8" borderId="3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0" borderId="46" xfId="0" applyFont="1" applyBorder="1" applyAlignment="1">
      <alignment horizontal="center" vertical="center" wrapText="1"/>
    </xf>
    <xf numFmtId="0" fontId="28" fillId="0" borderId="2" xfId="0" applyFont="1" applyBorder="1" applyAlignment="1">
      <alignment horizontal="center" vertical="center" wrapText="1"/>
    </xf>
  </cellXfs>
  <cellStyles count="18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3" xfId="14"/>
    <cellStyle name="Normal 3 3 2" xfId="16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494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E9" sqref="E9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e">
        <v>#VALUE!</v>
      </c>
      <c r="D1" s="26"/>
      <c r="E1" s="28" t="s">
        <v>426</v>
      </c>
      <c r="F1" s="28" t="s">
        <v>404</v>
      </c>
      <c r="G1" s="25" t="s">
        <v>154</v>
      </c>
      <c r="H1" s="25">
        <v>1</v>
      </c>
      <c r="I1" s="29" t="s">
        <v>495</v>
      </c>
      <c r="J1" s="25" t="s">
        <v>144</v>
      </c>
      <c r="K1" s="25" t="s">
        <v>496</v>
      </c>
      <c r="L1" s="25" t="s">
        <v>497</v>
      </c>
    </row>
    <row r="2" spans="1:12">
      <c r="A2" s="19">
        <v>1111</v>
      </c>
      <c r="B2" s="19">
        <v>112</v>
      </c>
      <c r="C2" s="20" t="str">
        <f>IF(AND(A2&lt;&gt;"",B2&lt;&gt;""),IF(OR(A2&lt;0.002,B2-A2&lt;0),"NG Zero Set",ROUNDUP(B2-A2,3)),"")</f>
        <v>NG Zero Set</v>
      </c>
      <c r="D2" s="26"/>
      <c r="H2" s="19"/>
    </row>
    <row r="3" spans="1:12">
      <c r="A3" s="19">
        <v>1</v>
      </c>
      <c r="B3" s="19">
        <v>3</v>
      </c>
      <c r="C3" s="20">
        <f t="shared" ref="C3:C29" si="0">IF(AND(A3&lt;&gt;"",B3&lt;&gt;""),IF(OR(A3&lt;0.002,B3-A3&lt;0),"NG Zero Set",ROUNDUP(B3-A3,3)),"")</f>
        <v>2</v>
      </c>
      <c r="D3" s="26"/>
      <c r="F3" s="19"/>
      <c r="G3" s="19"/>
      <c r="H3" s="19"/>
    </row>
    <row r="4" spans="1:12">
      <c r="A4" s="19">
        <v>3</v>
      </c>
      <c r="B4" s="19">
        <v>3</v>
      </c>
      <c r="C4" s="20">
        <f t="shared" si="0"/>
        <v>0</v>
      </c>
      <c r="D4" s="26"/>
      <c r="G4" s="23"/>
      <c r="H4" s="19"/>
    </row>
    <row r="5" spans="1:12">
      <c r="A5" s="19">
        <v>2</v>
      </c>
      <c r="B5" s="19">
        <v>3</v>
      </c>
      <c r="C5" s="20">
        <f t="shared" si="0"/>
        <v>1</v>
      </c>
      <c r="D5" s="26"/>
      <c r="F5" s="23"/>
      <c r="G5" s="23"/>
      <c r="H5" s="19"/>
    </row>
    <row r="6" spans="1:12">
      <c r="A6" s="19">
        <v>2</v>
      </c>
      <c r="B6" s="19">
        <v>3</v>
      </c>
      <c r="C6" s="20">
        <f t="shared" si="0"/>
        <v>1</v>
      </c>
      <c r="D6" s="26"/>
      <c r="E6"/>
      <c r="F6" s="23"/>
      <c r="G6" s="23"/>
      <c r="H6" s="19"/>
    </row>
    <row r="7" spans="1:12" ht="13.5" customHeight="1">
      <c r="A7" s="19">
        <v>2</v>
      </c>
      <c r="B7" s="19">
        <v>3</v>
      </c>
      <c r="C7" s="20">
        <f t="shared" si="0"/>
        <v>1</v>
      </c>
      <c r="D7" s="26"/>
      <c r="E7"/>
      <c r="F7" s="23"/>
      <c r="G7" s="23"/>
      <c r="H7" s="19"/>
    </row>
    <row r="8" spans="1:12">
      <c r="A8" s="19">
        <v>2</v>
      </c>
      <c r="B8" s="19">
        <v>3</v>
      </c>
      <c r="C8" s="20">
        <f t="shared" si="0"/>
        <v>1</v>
      </c>
      <c r="D8" s="26"/>
      <c r="E8"/>
      <c r="F8" s="23"/>
      <c r="G8" s="23"/>
      <c r="H8" s="19"/>
      <c r="K8" s="24"/>
    </row>
    <row r="9" spans="1:12">
      <c r="A9" s="19">
        <v>2</v>
      </c>
      <c r="B9" s="19">
        <v>3</v>
      </c>
      <c r="C9" s="20">
        <f t="shared" si="0"/>
        <v>1</v>
      </c>
      <c r="D9" s="26"/>
      <c r="E9"/>
      <c r="F9" s="23"/>
      <c r="G9" s="23"/>
      <c r="H9" s="19"/>
    </row>
    <row r="10" spans="1:12">
      <c r="A10" s="19">
        <v>2</v>
      </c>
      <c r="B10" s="19">
        <v>3</v>
      </c>
      <c r="C10" s="20">
        <f t="shared" si="0"/>
        <v>1</v>
      </c>
      <c r="D10" s="26"/>
      <c r="E10"/>
      <c r="F10" s="23"/>
      <c r="G10" s="23"/>
      <c r="H10" s="19"/>
    </row>
    <row r="11" spans="1:12">
      <c r="A11" s="19">
        <v>2</v>
      </c>
      <c r="B11" s="19">
        <v>3</v>
      </c>
      <c r="C11" s="20">
        <f t="shared" si="0"/>
        <v>1</v>
      </c>
      <c r="D11" s="26"/>
      <c r="E11"/>
      <c r="F11" s="23"/>
      <c r="G11" s="23"/>
      <c r="H11" s="19"/>
    </row>
    <row r="12" spans="1:12">
      <c r="A12" s="19">
        <v>2</v>
      </c>
      <c r="B12" s="19">
        <v>3</v>
      </c>
      <c r="C12" s="20">
        <f t="shared" si="0"/>
        <v>1</v>
      </c>
      <c r="D12" s="26"/>
      <c r="E12"/>
      <c r="F12" s="23"/>
      <c r="G12" s="23"/>
      <c r="H12" s="19"/>
    </row>
    <row r="13" spans="1:12">
      <c r="A13" s="19">
        <v>2</v>
      </c>
      <c r="B13" s="19">
        <v>3</v>
      </c>
      <c r="C13" s="20">
        <f t="shared" si="0"/>
        <v>1</v>
      </c>
      <c r="D13" s="26"/>
      <c r="E13"/>
      <c r="F13" s="23"/>
      <c r="G13" s="23"/>
      <c r="H13" s="19"/>
    </row>
    <row r="14" spans="1:12">
      <c r="A14" s="19">
        <v>2</v>
      </c>
      <c r="B14" s="19">
        <v>3</v>
      </c>
      <c r="C14" s="20">
        <f t="shared" si="0"/>
        <v>1</v>
      </c>
      <c r="D14" s="26"/>
      <c r="G14" s="23"/>
      <c r="H14" s="23"/>
      <c r="I14" s="19"/>
    </row>
    <row r="15" spans="1:12">
      <c r="A15" s="19">
        <v>2</v>
      </c>
      <c r="B15" s="19">
        <v>3</v>
      </c>
      <c r="C15" s="20">
        <f t="shared" si="0"/>
        <v>1</v>
      </c>
      <c r="D15" s="26"/>
      <c r="G15" s="23"/>
      <c r="H15" s="23"/>
      <c r="I15" s="19"/>
    </row>
    <row r="16" spans="1:12">
      <c r="A16" s="19">
        <v>2</v>
      </c>
      <c r="B16" s="19">
        <v>3</v>
      </c>
      <c r="C16" s="20">
        <f t="shared" si="0"/>
        <v>1</v>
      </c>
      <c r="D16" s="26"/>
      <c r="G16" s="23"/>
      <c r="H16" s="23"/>
      <c r="I16" s="19"/>
    </row>
    <row r="17" spans="1:9">
      <c r="A17" s="19">
        <v>2</v>
      </c>
      <c r="B17" s="19">
        <v>3</v>
      </c>
      <c r="C17" s="20">
        <f t="shared" si="0"/>
        <v>1</v>
      </c>
      <c r="D17" s="26"/>
      <c r="G17" s="23"/>
      <c r="H17" s="23"/>
      <c r="I17" s="19"/>
    </row>
    <row r="18" spans="1:9">
      <c r="A18" s="19">
        <v>1</v>
      </c>
      <c r="B18" s="19">
        <v>3</v>
      </c>
      <c r="C18" s="20">
        <f t="shared" si="0"/>
        <v>2</v>
      </c>
      <c r="D18" s="26"/>
      <c r="G18" s="23"/>
      <c r="H18" s="23"/>
      <c r="I18" s="19"/>
    </row>
    <row r="19" spans="1:9">
      <c r="A19" s="19">
        <v>3</v>
      </c>
      <c r="B19" s="19">
        <v>3</v>
      </c>
      <c r="C19" s="20">
        <f t="shared" si="0"/>
        <v>0</v>
      </c>
      <c r="D19" s="26"/>
      <c r="G19" s="23"/>
      <c r="H19" s="23"/>
      <c r="I19" s="19"/>
    </row>
    <row r="20" spans="1:9">
      <c r="A20" s="19">
        <v>2</v>
      </c>
      <c r="B20" s="19">
        <v>3</v>
      </c>
      <c r="C20" s="20">
        <f t="shared" si="0"/>
        <v>1</v>
      </c>
      <c r="D20" s="26"/>
      <c r="G20" s="23"/>
      <c r="H20" s="23"/>
      <c r="I20" s="19"/>
    </row>
    <row r="21" spans="1:9">
      <c r="A21" s="19">
        <v>1</v>
      </c>
      <c r="B21" s="19">
        <v>3</v>
      </c>
      <c r="C21" s="20">
        <f t="shared" si="0"/>
        <v>2</v>
      </c>
      <c r="D21" s="26"/>
      <c r="G21" s="23"/>
      <c r="H21" s="23"/>
      <c r="I21" s="19"/>
    </row>
    <row r="22" spans="1:9">
      <c r="A22" s="19">
        <v>2</v>
      </c>
      <c r="B22" s="19">
        <v>3</v>
      </c>
      <c r="C22" s="20">
        <f t="shared" si="0"/>
        <v>1</v>
      </c>
      <c r="D22" s="26"/>
      <c r="G22" s="23"/>
      <c r="H22" s="23"/>
      <c r="I22" s="19"/>
    </row>
    <row r="23" spans="1:9">
      <c r="A23" s="19">
        <v>2</v>
      </c>
      <c r="B23" s="19">
        <v>3</v>
      </c>
      <c r="C23" s="20">
        <f t="shared" si="0"/>
        <v>1</v>
      </c>
      <c r="D23" s="26"/>
      <c r="G23" s="23"/>
      <c r="H23" s="23"/>
      <c r="I23" s="19"/>
    </row>
    <row r="24" spans="1:9">
      <c r="A24" s="19">
        <v>2</v>
      </c>
      <c r="B24" s="19">
        <v>3</v>
      </c>
      <c r="C24" s="20">
        <f t="shared" si="0"/>
        <v>1</v>
      </c>
      <c r="D24" s="26"/>
      <c r="G24" s="23"/>
      <c r="H24" s="23"/>
      <c r="I24" s="19"/>
    </row>
    <row r="25" spans="1:9">
      <c r="A25" s="19">
        <v>2</v>
      </c>
      <c r="B25" s="19">
        <v>3</v>
      </c>
      <c r="C25" s="20">
        <f t="shared" si="0"/>
        <v>1</v>
      </c>
      <c r="D25" s="26"/>
      <c r="G25" s="23"/>
      <c r="H25" s="23"/>
      <c r="I25" s="19"/>
    </row>
    <row r="26" spans="1:9">
      <c r="A26" s="19">
        <v>2</v>
      </c>
      <c r="B26" s="19">
        <v>3</v>
      </c>
      <c r="C26" s="20">
        <f t="shared" si="0"/>
        <v>1</v>
      </c>
      <c r="D26" s="26"/>
      <c r="G26" s="23"/>
      <c r="H26" s="23"/>
      <c r="I26" s="19"/>
    </row>
    <row r="27" spans="1:9">
      <c r="A27" s="19">
        <v>2</v>
      </c>
      <c r="B27" s="19">
        <v>3</v>
      </c>
      <c r="C27" s="20">
        <f t="shared" si="0"/>
        <v>1</v>
      </c>
      <c r="D27" s="26"/>
      <c r="G27" s="23"/>
      <c r="H27" s="23"/>
      <c r="I27" s="19"/>
    </row>
    <row r="28" spans="1:9">
      <c r="A28" s="19">
        <v>2</v>
      </c>
      <c r="B28" s="19">
        <v>3</v>
      </c>
      <c r="C28" s="20">
        <f t="shared" si="0"/>
        <v>1</v>
      </c>
      <c r="D28" s="26"/>
      <c r="G28" s="23"/>
      <c r="H28" s="23"/>
      <c r="I28" s="19"/>
    </row>
    <row r="29" spans="1:9">
      <c r="A29" s="19">
        <v>2</v>
      </c>
      <c r="B29" s="19">
        <v>3</v>
      </c>
      <c r="C29" s="20">
        <f t="shared" si="0"/>
        <v>1</v>
      </c>
      <c r="D29" s="26"/>
      <c r="G29" s="23"/>
      <c r="H29" s="23"/>
      <c r="I29" s="19"/>
    </row>
    <row r="30" spans="1:9">
      <c r="A30" s="19"/>
      <c r="C30" s="20"/>
      <c r="D30" s="26"/>
    </row>
    <row r="31" spans="1:9">
      <c r="A31" s="19"/>
      <c r="C31" s="20"/>
      <c r="D31" s="26"/>
    </row>
    <row r="32" spans="1:9">
      <c r="A32" s="19"/>
      <c r="C32" s="20"/>
      <c r="D32" s="26"/>
    </row>
    <row r="33" spans="1:4">
      <c r="A33" s="19"/>
      <c r="C33" s="20"/>
      <c r="D33" s="26"/>
    </row>
    <row r="34" spans="1:4">
      <c r="A34" s="19"/>
      <c r="C34" s="20"/>
      <c r="D34" s="26"/>
    </row>
    <row r="35" spans="1:4">
      <c r="A35" s="19"/>
      <c r="C35" s="20"/>
      <c r="D35" s="26"/>
    </row>
    <row r="36" spans="1:4">
      <c r="A36" s="19"/>
      <c r="C36" s="20"/>
      <c r="D36" s="26"/>
    </row>
    <row r="37" spans="1:4">
      <c r="A37" s="19"/>
      <c r="C37" s="20"/>
      <c r="D37" s="26"/>
    </row>
    <row r="38" spans="1:4">
      <c r="A38" s="19"/>
      <c r="C38" s="20"/>
      <c r="D38" s="26"/>
    </row>
    <row r="39" spans="1:4">
      <c r="A39" s="19"/>
      <c r="C39" s="20"/>
      <c r="D39" s="26"/>
    </row>
    <row r="40" spans="1:4">
      <c r="A40" s="19"/>
      <c r="C40" s="20"/>
      <c r="D40" s="26"/>
    </row>
    <row r="41" spans="1:4">
      <c r="A41" s="19"/>
      <c r="C41" s="20"/>
      <c r="D41" s="26"/>
    </row>
    <row r="42" spans="1:4">
      <c r="A42" s="19"/>
      <c r="C42" s="20"/>
      <c r="D42" s="26"/>
    </row>
    <row r="43" spans="1:4">
      <c r="A43" s="19"/>
      <c r="C43" s="20"/>
      <c r="D43" s="26"/>
    </row>
    <row r="44" spans="1:4">
      <c r="A44" s="19"/>
      <c r="C44" s="20"/>
      <c r="D44" s="26"/>
    </row>
    <row r="45" spans="1:4">
      <c r="A45" s="19"/>
      <c r="C45" s="20"/>
      <c r="D45" s="26"/>
    </row>
    <row r="46" spans="1:4">
      <c r="A46" s="19"/>
      <c r="C46" s="20"/>
      <c r="D46" s="26"/>
    </row>
    <row r="47" spans="1:4">
      <c r="A47" s="19"/>
      <c r="C47" s="20"/>
      <c r="D47" s="26"/>
    </row>
    <row r="48" spans="1:4">
      <c r="A48" s="19"/>
      <c r="C48" s="20"/>
      <c r="D48" s="26"/>
    </row>
    <row r="49" spans="1:4">
      <c r="A49" s="19"/>
      <c r="C49" s="20"/>
      <c r="D49" s="26"/>
    </row>
    <row r="50" spans="1:4">
      <c r="A50" s="19"/>
      <c r="C50" s="20"/>
      <c r="D50" s="26"/>
    </row>
    <row r="51" spans="1:4">
      <c r="A51" s="19"/>
      <c r="C51" s="20"/>
      <c r="D51" s="26"/>
    </row>
    <row r="52" spans="1:4">
      <c r="A52" s="19"/>
      <c r="C52" s="20"/>
      <c r="D52" s="26"/>
    </row>
    <row r="53" spans="1:4">
      <c r="A53" s="19"/>
      <c r="C53" s="20"/>
      <c r="D53" s="26"/>
    </row>
    <row r="54" spans="1:4">
      <c r="A54" s="19"/>
      <c r="C54" s="20"/>
      <c r="D54" s="26"/>
    </row>
    <row r="55" spans="1:4">
      <c r="A55" s="19"/>
      <c r="C55" s="20"/>
      <c r="D55" s="26"/>
    </row>
    <row r="56" spans="1:4">
      <c r="A56" s="19"/>
      <c r="C56" s="20"/>
      <c r="D56" s="26"/>
    </row>
    <row r="57" spans="1:4">
      <c r="A57" s="19"/>
      <c r="C57" s="20"/>
      <c r="D57" s="26"/>
    </row>
    <row r="58" spans="1:4">
      <c r="A58" s="19"/>
      <c r="C58" s="20"/>
      <c r="D58" s="26"/>
    </row>
    <row r="59" spans="1:4">
      <c r="A59" s="19"/>
      <c r="C59" s="20"/>
      <c r="D59" s="26"/>
    </row>
    <row r="60" spans="1:4">
      <c r="A60" s="19"/>
      <c r="C60" s="20"/>
      <c r="D60" s="26"/>
    </row>
    <row r="61" spans="1:4">
      <c r="A61" s="19"/>
      <c r="C61" s="20"/>
      <c r="D61" s="26"/>
    </row>
    <row r="62" spans="1:4">
      <c r="A62" s="19"/>
      <c r="C62" s="20"/>
      <c r="D62" s="26"/>
    </row>
    <row r="63" spans="1:4">
      <c r="A63" s="19"/>
      <c r="C63" s="20"/>
      <c r="D63" s="26"/>
    </row>
    <row r="64" spans="1:4">
      <c r="A64" s="19"/>
      <c r="C64" s="20"/>
      <c r="D64" s="26"/>
    </row>
    <row r="65" spans="1:7">
      <c r="A65" s="19"/>
      <c r="C65" s="20"/>
      <c r="D65" s="26"/>
    </row>
    <row r="66" spans="1:7">
      <c r="A66" s="19"/>
      <c r="C66" s="20"/>
      <c r="D66" s="26"/>
    </row>
    <row r="67" spans="1:7">
      <c r="A67" s="19"/>
      <c r="C67" s="20"/>
      <c r="D67" s="26"/>
    </row>
    <row r="68" spans="1:7">
      <c r="A68" s="19"/>
      <c r="C68" s="20"/>
      <c r="D68" s="26"/>
    </row>
    <row r="69" spans="1:7">
      <c r="A69" s="19"/>
      <c r="C69" s="20"/>
      <c r="D69" s="26"/>
    </row>
    <row r="70" spans="1:7">
      <c r="A70" s="19"/>
      <c r="C70" s="20"/>
      <c r="D70" s="26"/>
    </row>
    <row r="71" spans="1:7">
      <c r="A71" s="19"/>
      <c r="C71" s="20"/>
      <c r="D71" s="26"/>
    </row>
    <row r="72" spans="1:7">
      <c r="A72" s="19"/>
      <c r="C72" s="20"/>
      <c r="D72" s="26"/>
    </row>
    <row r="73" spans="1:7">
      <c r="A73" s="19"/>
      <c r="C73" s="20"/>
      <c r="D73" s="26"/>
    </row>
    <row r="74" spans="1:7">
      <c r="A74" s="19"/>
      <c r="C74" s="20"/>
      <c r="D74" s="26"/>
    </row>
    <row r="75" spans="1:7">
      <c r="A75" s="19"/>
      <c r="C75" s="20"/>
      <c r="D75" s="26"/>
      <c r="G75">
        <v>16</v>
      </c>
    </row>
    <row r="76" spans="1:7">
      <c r="A76" s="19"/>
      <c r="C76" s="20"/>
      <c r="D76" s="26"/>
      <c r="G76">
        <v>5</v>
      </c>
    </row>
    <row r="77" spans="1:7">
      <c r="A77" s="19"/>
      <c r="C77" s="20"/>
      <c r="D77" s="26"/>
      <c r="G77">
        <f>+G75*G76</f>
        <v>80</v>
      </c>
    </row>
    <row r="78" spans="1:7">
      <c r="A78" s="19"/>
      <c r="C78" s="20"/>
      <c r="D78" s="26"/>
    </row>
    <row r="79" spans="1:7">
      <c r="A79" s="19"/>
      <c r="C79" s="20"/>
      <c r="D79" s="26"/>
    </row>
    <row r="80" spans="1:7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490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L2" activePane="bottomRight" state="frozen"/>
      <selection pane="topRight" activeCell="B1" sqref="B1"/>
      <selection pane="bottomLeft" activeCell="A2" sqref="A2"/>
      <selection pane="bottomRight" activeCell="Q7" sqref="Q7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378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226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420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227</v>
      </c>
      <c r="CAN1" s="103" t="s">
        <v>228</v>
      </c>
      <c r="CAO1" s="103" t="s">
        <v>287</v>
      </c>
      <c r="CAP1" s="103" t="s">
        <v>318</v>
      </c>
      <c r="CAQ1" s="103" t="s">
        <v>319</v>
      </c>
      <c r="CAR1" s="103" t="s">
        <v>229</v>
      </c>
      <c r="CAS1" s="103" t="s">
        <v>230</v>
      </c>
      <c r="CAT1" s="103" t="s">
        <v>288</v>
      </c>
      <c r="CAU1" s="103" t="s">
        <v>320</v>
      </c>
      <c r="CAV1" s="103" t="s">
        <v>321</v>
      </c>
      <c r="CAW1" s="103" t="s">
        <v>231</v>
      </c>
      <c r="CAX1" s="103" t="s">
        <v>232</v>
      </c>
      <c r="CAY1" s="103" t="s">
        <v>289</v>
      </c>
      <c r="CAZ1" s="103" t="s">
        <v>322</v>
      </c>
      <c r="CBA1" s="103" t="s">
        <v>323</v>
      </c>
      <c r="CBB1" s="103" t="s">
        <v>233</v>
      </c>
      <c r="CBC1" s="103" t="s">
        <v>234</v>
      </c>
      <c r="CBD1" s="103" t="s">
        <v>290</v>
      </c>
      <c r="CBE1" s="103" t="s">
        <v>324</v>
      </c>
      <c r="CBF1" s="103" t="s">
        <v>325</v>
      </c>
      <c r="CBG1" s="103" t="s">
        <v>235</v>
      </c>
      <c r="CBH1" s="103" t="s">
        <v>236</v>
      </c>
      <c r="CBI1" s="103" t="s">
        <v>291</v>
      </c>
      <c r="CBJ1" s="103" t="s">
        <v>326</v>
      </c>
      <c r="CBK1" s="103" t="s">
        <v>327</v>
      </c>
      <c r="CBL1" s="103" t="s">
        <v>237</v>
      </c>
      <c r="CBM1" s="103" t="s">
        <v>238</v>
      </c>
      <c r="CBN1" s="103" t="s">
        <v>292</v>
      </c>
      <c r="CBO1" s="103" t="s">
        <v>328</v>
      </c>
      <c r="CBP1" s="103" t="s">
        <v>329</v>
      </c>
      <c r="CBQ1" s="103" t="s">
        <v>239</v>
      </c>
      <c r="CBR1" s="103" t="s">
        <v>240</v>
      </c>
      <c r="CBS1" s="103" t="s">
        <v>293</v>
      </c>
      <c r="CBT1" s="103" t="s">
        <v>330</v>
      </c>
      <c r="CBU1" s="103" t="s">
        <v>331</v>
      </c>
      <c r="CBV1" s="103" t="s">
        <v>241</v>
      </c>
      <c r="CBW1" s="103" t="s">
        <v>242</v>
      </c>
      <c r="CBX1" s="103" t="s">
        <v>294</v>
      </c>
      <c r="CBY1" s="103" t="s">
        <v>332</v>
      </c>
      <c r="CBZ1" s="103" t="s">
        <v>333</v>
      </c>
      <c r="CCA1" s="103" t="s">
        <v>243</v>
      </c>
      <c r="CCB1" s="103" t="s">
        <v>244</v>
      </c>
      <c r="CCC1" s="103" t="s">
        <v>295</v>
      </c>
      <c r="CCD1" s="103" t="s">
        <v>334</v>
      </c>
      <c r="CCE1" s="103" t="s">
        <v>335</v>
      </c>
      <c r="CCF1" s="103" t="s">
        <v>245</v>
      </c>
      <c r="CCG1" s="103" t="s">
        <v>246</v>
      </c>
      <c r="CCH1" s="103" t="s">
        <v>296</v>
      </c>
      <c r="CCI1" s="103" t="s">
        <v>336</v>
      </c>
      <c r="CCJ1" s="103" t="s">
        <v>337</v>
      </c>
      <c r="CCK1" s="103" t="s">
        <v>247</v>
      </c>
      <c r="CCL1" s="103" t="s">
        <v>248</v>
      </c>
      <c r="CCM1" s="103" t="s">
        <v>297</v>
      </c>
      <c r="CCN1" s="103" t="s">
        <v>338</v>
      </c>
      <c r="CCO1" s="103" t="s">
        <v>339</v>
      </c>
      <c r="CCP1" s="103" t="s">
        <v>249</v>
      </c>
      <c r="CCQ1" s="103" t="s">
        <v>250</v>
      </c>
      <c r="CCR1" s="103" t="s">
        <v>298</v>
      </c>
      <c r="CCS1" s="103" t="s">
        <v>340</v>
      </c>
      <c r="CCT1" s="103" t="s">
        <v>341</v>
      </c>
      <c r="CCU1" s="103" t="s">
        <v>251</v>
      </c>
      <c r="CCV1" s="103" t="s">
        <v>252</v>
      </c>
      <c r="CCW1" s="103" t="s">
        <v>299</v>
      </c>
      <c r="CCX1" s="103" t="s">
        <v>342</v>
      </c>
      <c r="CCY1" s="103" t="s">
        <v>343</v>
      </c>
      <c r="CCZ1" s="103" t="s">
        <v>253</v>
      </c>
      <c r="CDA1" s="103" t="s">
        <v>254</v>
      </c>
      <c r="CDB1" s="103" t="s">
        <v>300</v>
      </c>
      <c r="CDC1" s="103" t="s">
        <v>344</v>
      </c>
      <c r="CDD1" s="103" t="s">
        <v>345</v>
      </c>
      <c r="CDE1" s="103" t="s">
        <v>255</v>
      </c>
      <c r="CDF1" s="103" t="s">
        <v>256</v>
      </c>
      <c r="CDG1" s="103" t="s">
        <v>301</v>
      </c>
      <c r="CDH1" s="103" t="s">
        <v>346</v>
      </c>
      <c r="CDI1" s="103" t="s">
        <v>347</v>
      </c>
      <c r="CDJ1" s="103" t="s">
        <v>257</v>
      </c>
      <c r="CDK1" s="103" t="s">
        <v>258</v>
      </c>
      <c r="CDL1" s="103" t="s">
        <v>302</v>
      </c>
      <c r="CDM1" s="103" t="s">
        <v>348</v>
      </c>
      <c r="CDN1" s="103" t="s">
        <v>349</v>
      </c>
      <c r="CDO1" s="103" t="s">
        <v>259</v>
      </c>
      <c r="CDP1" s="103" t="s">
        <v>260</v>
      </c>
      <c r="CDQ1" s="103" t="s">
        <v>303</v>
      </c>
      <c r="CDR1" s="103" t="s">
        <v>350</v>
      </c>
      <c r="CDS1" s="103" t="s">
        <v>351</v>
      </c>
      <c r="CDT1" s="103" t="s">
        <v>261</v>
      </c>
      <c r="CDU1" s="103" t="s">
        <v>262</v>
      </c>
      <c r="CDV1" s="103" t="s">
        <v>304</v>
      </c>
      <c r="CDW1" s="103" t="s">
        <v>352</v>
      </c>
      <c r="CDX1" s="103" t="s">
        <v>353</v>
      </c>
      <c r="CDY1" s="103" t="s">
        <v>263</v>
      </c>
      <c r="CDZ1" s="103" t="s">
        <v>264</v>
      </c>
      <c r="CEA1" s="103" t="s">
        <v>305</v>
      </c>
      <c r="CEB1" s="103" t="s">
        <v>354</v>
      </c>
      <c r="CEC1" s="103" t="s">
        <v>355</v>
      </c>
      <c r="CED1" s="103" t="s">
        <v>265</v>
      </c>
      <c r="CEE1" s="103" t="s">
        <v>266</v>
      </c>
      <c r="CEF1" s="103" t="s">
        <v>306</v>
      </c>
      <c r="CEG1" s="103" t="s">
        <v>356</v>
      </c>
      <c r="CEH1" s="103" t="s">
        <v>357</v>
      </c>
      <c r="CEI1" s="103" t="s">
        <v>267</v>
      </c>
      <c r="CEJ1" s="103" t="s">
        <v>268</v>
      </c>
      <c r="CEK1" s="103" t="s">
        <v>307</v>
      </c>
      <c r="CEL1" s="103" t="s">
        <v>358</v>
      </c>
      <c r="CEM1" s="103" t="s">
        <v>359</v>
      </c>
      <c r="CEN1" s="103" t="s">
        <v>269</v>
      </c>
      <c r="CEO1" s="103" t="s">
        <v>270</v>
      </c>
      <c r="CEP1" s="103" t="s">
        <v>308</v>
      </c>
      <c r="CEQ1" s="103" t="s">
        <v>360</v>
      </c>
      <c r="CER1" s="103" t="s">
        <v>361</v>
      </c>
      <c r="CES1" s="103" t="s">
        <v>271</v>
      </c>
      <c r="CET1" s="103" t="s">
        <v>272</v>
      </c>
      <c r="CEU1" s="103" t="s">
        <v>309</v>
      </c>
      <c r="CEV1" s="103" t="s">
        <v>362</v>
      </c>
      <c r="CEW1" s="103" t="s">
        <v>363</v>
      </c>
      <c r="CEX1" s="103" t="s">
        <v>273</v>
      </c>
      <c r="CEY1" s="103" t="s">
        <v>274</v>
      </c>
      <c r="CEZ1" s="103" t="s">
        <v>310</v>
      </c>
      <c r="CFA1" s="103" t="s">
        <v>364</v>
      </c>
      <c r="CFB1" s="103" t="s">
        <v>365</v>
      </c>
      <c r="CFC1" s="103" t="s">
        <v>275</v>
      </c>
      <c r="CFD1" s="103" t="s">
        <v>276</v>
      </c>
      <c r="CFE1" s="103" t="s">
        <v>311</v>
      </c>
      <c r="CFF1" s="103" t="s">
        <v>366</v>
      </c>
      <c r="CFG1" s="103" t="s">
        <v>367</v>
      </c>
      <c r="CFH1" s="103" t="s">
        <v>277</v>
      </c>
      <c r="CFI1" s="103" t="s">
        <v>278</v>
      </c>
      <c r="CFJ1" s="103" t="s">
        <v>312</v>
      </c>
      <c r="CFK1" s="103" t="s">
        <v>368</v>
      </c>
      <c r="CFL1" s="103" t="s">
        <v>369</v>
      </c>
      <c r="CFM1" s="103" t="s">
        <v>279</v>
      </c>
      <c r="CFN1" s="103" t="s">
        <v>280</v>
      </c>
      <c r="CFO1" s="103" t="s">
        <v>313</v>
      </c>
      <c r="CFP1" s="103" t="s">
        <v>370</v>
      </c>
      <c r="CFQ1" s="103" t="s">
        <v>371</v>
      </c>
      <c r="CFR1" s="103" t="s">
        <v>281</v>
      </c>
      <c r="CFS1" s="103" t="s">
        <v>282</v>
      </c>
      <c r="CFT1" s="103" t="s">
        <v>314</v>
      </c>
      <c r="CFU1" s="103" t="s">
        <v>372</v>
      </c>
      <c r="CFV1" s="103" t="s">
        <v>373</v>
      </c>
      <c r="CFW1" s="103" t="s">
        <v>283</v>
      </c>
      <c r="CFX1" s="103" t="s">
        <v>284</v>
      </c>
      <c r="CFY1" s="103" t="s">
        <v>315</v>
      </c>
      <c r="CFZ1" s="103" t="s">
        <v>374</v>
      </c>
      <c r="CGA1" s="103" t="s">
        <v>375</v>
      </c>
      <c r="CGB1" s="103" t="s">
        <v>285</v>
      </c>
      <c r="CGC1" s="103" t="s">
        <v>286</v>
      </c>
      <c r="CGD1" s="103" t="s">
        <v>316</v>
      </c>
      <c r="CGE1" s="103" t="s">
        <v>376</v>
      </c>
      <c r="CGF1" s="103" t="s">
        <v>377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426</v>
      </c>
      <c r="B2" s="106">
        <v>2</v>
      </c>
      <c r="C2" s="106">
        <v>1</v>
      </c>
      <c r="D2" s="106">
        <v>1</v>
      </c>
      <c r="E2" s="106">
        <v>14</v>
      </c>
      <c r="F2" s="106" t="s">
        <v>424</v>
      </c>
      <c r="GY2" s="97" t="s">
        <v>495</v>
      </c>
      <c r="GZ2" s="108">
        <v>1111</v>
      </c>
      <c r="HA2" s="108">
        <v>1</v>
      </c>
      <c r="HB2" s="108">
        <v>3</v>
      </c>
      <c r="HC2" s="108">
        <v>2</v>
      </c>
      <c r="HD2" s="108">
        <v>2</v>
      </c>
      <c r="HE2" s="108">
        <v>2</v>
      </c>
      <c r="HF2" s="108">
        <v>2</v>
      </c>
      <c r="HG2" s="108">
        <v>2</v>
      </c>
      <c r="HH2" s="108">
        <v>2</v>
      </c>
      <c r="HI2" s="108">
        <v>2</v>
      </c>
      <c r="HJ2" s="108">
        <v>2</v>
      </c>
      <c r="HK2" s="108">
        <v>2</v>
      </c>
      <c r="HL2" s="108">
        <v>2</v>
      </c>
      <c r="HM2" s="108">
        <v>2</v>
      </c>
      <c r="HN2" s="108">
        <v>2</v>
      </c>
      <c r="HO2" s="108">
        <v>2</v>
      </c>
      <c r="HP2" s="108">
        <v>1</v>
      </c>
      <c r="HQ2" s="108">
        <v>3</v>
      </c>
      <c r="HR2" s="108">
        <v>2</v>
      </c>
      <c r="HS2" s="108">
        <v>1</v>
      </c>
      <c r="HT2" s="108">
        <v>2</v>
      </c>
      <c r="HU2" s="108">
        <v>2</v>
      </c>
      <c r="HV2" s="108">
        <v>2</v>
      </c>
      <c r="HW2" s="108">
        <v>2</v>
      </c>
      <c r="HX2" s="108">
        <v>2</v>
      </c>
      <c r="HY2" s="108">
        <v>2</v>
      </c>
      <c r="HZ2" s="108">
        <v>2</v>
      </c>
      <c r="IA2" s="108">
        <v>2</v>
      </c>
      <c r="BXV2" s="109">
        <v>1</v>
      </c>
      <c r="BXW2" s="108" t="s">
        <v>404</v>
      </c>
      <c r="BXX2" s="108" t="s">
        <v>154</v>
      </c>
      <c r="BYA2" s="103">
        <v>0</v>
      </c>
      <c r="BYX2" s="108">
        <v>2</v>
      </c>
      <c r="BYY2" s="108">
        <v>1</v>
      </c>
      <c r="BYZ2" s="108">
        <v>1</v>
      </c>
      <c r="CAM2" s="108">
        <v>1</v>
      </c>
      <c r="CAN2" s="108">
        <v>1</v>
      </c>
      <c r="CAO2" s="108">
        <v>0.24</v>
      </c>
      <c r="CAP2" s="108">
        <v>0</v>
      </c>
      <c r="CAQ2" s="108">
        <v>0.129</v>
      </c>
      <c r="CAR2" s="108">
        <v>2</v>
      </c>
      <c r="CAS2" s="108">
        <v>2</v>
      </c>
      <c r="CAT2" s="108">
        <v>0.26</v>
      </c>
      <c r="CAU2" s="108">
        <v>0</v>
      </c>
      <c r="CAV2" s="108">
        <v>0.129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492</v>
      </c>
      <c r="B3" s="106">
        <v>10</v>
      </c>
      <c r="C3" s="106">
        <v>3</v>
      </c>
      <c r="D3" s="106">
        <v>10</v>
      </c>
      <c r="E3" s="106">
        <v>4</v>
      </c>
      <c r="F3" s="106" t="s">
        <v>424</v>
      </c>
      <c r="G3" s="106"/>
      <c r="GY3" s="95"/>
      <c r="BXV3" s="109">
        <v>1</v>
      </c>
      <c r="BYA3" s="103">
        <v>0</v>
      </c>
      <c r="BYD3" s="103">
        <v>0</v>
      </c>
      <c r="BYG3" s="103">
        <v>0</v>
      </c>
      <c r="BYX3" s="108">
        <v>2</v>
      </c>
      <c r="BYY3" s="108">
        <v>5</v>
      </c>
      <c r="BYZ3" s="108">
        <v>5</v>
      </c>
      <c r="CAM3" s="108">
        <v>1</v>
      </c>
      <c r="CAN3" s="108">
        <v>5</v>
      </c>
      <c r="CAO3" s="108">
        <v>0.09</v>
      </c>
      <c r="CAP3" s="108">
        <v>0</v>
      </c>
      <c r="CAQ3" s="108">
        <v>0.09</v>
      </c>
      <c r="CAR3" s="108">
        <v>6</v>
      </c>
      <c r="CAS3" s="108">
        <v>10</v>
      </c>
      <c r="CAT3" s="108">
        <v>0.09</v>
      </c>
      <c r="CAU3" s="108">
        <v>0</v>
      </c>
      <c r="CAV3" s="108">
        <v>0.09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423</v>
      </c>
      <c r="B4" s="106">
        <v>4</v>
      </c>
      <c r="C4" s="106">
        <v>1</v>
      </c>
      <c r="D4" s="106">
        <v>1</v>
      </c>
      <c r="E4" s="106">
        <v>16</v>
      </c>
      <c r="F4" s="106" t="s">
        <v>424</v>
      </c>
      <c r="G4" s="106"/>
      <c r="GY4" s="95" t="s">
        <v>425</v>
      </c>
      <c r="GZ4" s="108">
        <v>0.41</v>
      </c>
      <c r="HA4" s="108">
        <v>0.41199999999999998</v>
      </c>
      <c r="HB4" s="108">
        <v>0.46700000000000003</v>
      </c>
      <c r="HC4" s="108">
        <v>0.46800000000000003</v>
      </c>
      <c r="HD4" s="108">
        <v>0.47099999999999997</v>
      </c>
      <c r="HE4" s="108">
        <v>0.47299999999999998</v>
      </c>
      <c r="HF4" s="108">
        <v>0.41</v>
      </c>
      <c r="HG4" s="108">
        <v>0.40600000000000003</v>
      </c>
      <c r="HH4" s="108">
        <v>0.41599999999999998</v>
      </c>
      <c r="HI4" s="108">
        <v>0.41199999999999998</v>
      </c>
      <c r="HJ4" s="108">
        <v>0.46700000000000003</v>
      </c>
      <c r="HK4" s="108">
        <v>0.46600000000000003</v>
      </c>
      <c r="HL4" s="108">
        <v>0.46700000000000003</v>
      </c>
      <c r="HM4" s="108">
        <v>0.46400000000000002</v>
      </c>
      <c r="HN4" s="108">
        <v>0.41299999999999998</v>
      </c>
      <c r="HO4" s="108">
        <v>0.41</v>
      </c>
      <c r="HP4" s="108">
        <v>0.41499999999999998</v>
      </c>
      <c r="HQ4" s="108">
        <v>0.41499999999999998</v>
      </c>
      <c r="HR4" s="108">
        <v>0.46400000000000002</v>
      </c>
      <c r="HS4" s="108">
        <v>0.46100000000000002</v>
      </c>
      <c r="HT4" s="108">
        <v>0.46300000000000002</v>
      </c>
      <c r="HU4" s="108">
        <v>0.46100000000000002</v>
      </c>
      <c r="HV4" s="108">
        <v>0.41199999999999998</v>
      </c>
      <c r="HW4" s="108">
        <v>0.41</v>
      </c>
      <c r="HX4" s="108">
        <v>0.41399999999999998</v>
      </c>
      <c r="HY4" s="108">
        <v>0.40899999999999997</v>
      </c>
      <c r="HZ4" s="108">
        <v>0.45900000000000002</v>
      </c>
      <c r="IA4" s="108">
        <v>0.45400000000000001</v>
      </c>
      <c r="IB4" s="108">
        <v>0.45400000000000001</v>
      </c>
      <c r="IC4" s="108">
        <v>0.45200000000000001</v>
      </c>
      <c r="ID4" s="108">
        <v>0.40699999999999997</v>
      </c>
      <c r="IE4" s="108">
        <v>0.40600000000000003</v>
      </c>
      <c r="IF4" s="108">
        <v>0.40500000000000003</v>
      </c>
      <c r="IG4" s="108">
        <v>0.39</v>
      </c>
      <c r="IH4" s="108">
        <v>0.42299999999999999</v>
      </c>
      <c r="II4" s="108">
        <v>0.42699999999999999</v>
      </c>
      <c r="IJ4" s="108">
        <v>0.432</v>
      </c>
      <c r="IK4" s="108">
        <v>0.42899999999999999</v>
      </c>
      <c r="IL4" s="108">
        <v>0.38900000000000001</v>
      </c>
      <c r="IM4" s="108">
        <v>0.38900000000000001</v>
      </c>
      <c r="IN4" s="108">
        <v>0.39500000000000002</v>
      </c>
      <c r="IO4" s="108">
        <v>0.39200000000000002</v>
      </c>
      <c r="IP4" s="108">
        <v>0.42499999999999999</v>
      </c>
      <c r="IQ4" s="108">
        <v>0.42599999999999999</v>
      </c>
      <c r="IR4" s="108">
        <v>0.432</v>
      </c>
      <c r="IS4" s="108">
        <v>0.42899999999999999</v>
      </c>
      <c r="IT4" s="108">
        <v>0.39400000000000002</v>
      </c>
      <c r="IU4" s="108">
        <v>0.38600000000000001</v>
      </c>
      <c r="IV4" s="108">
        <v>0.39700000000000002</v>
      </c>
      <c r="IW4" s="108">
        <v>0.39600000000000002</v>
      </c>
      <c r="IX4" s="108">
        <v>0.42799999999999999</v>
      </c>
      <c r="IY4" s="108">
        <v>0.42599999999999999</v>
      </c>
      <c r="IZ4" s="108">
        <v>0.44</v>
      </c>
      <c r="JA4" s="108">
        <v>0.439</v>
      </c>
      <c r="JB4" s="108">
        <v>0.39900000000000002</v>
      </c>
      <c r="JC4" s="108">
        <v>0.39600000000000002</v>
      </c>
      <c r="JD4" s="108">
        <v>0.40899999999999997</v>
      </c>
      <c r="JE4" s="108">
        <v>0.40200000000000002</v>
      </c>
      <c r="JF4" s="108">
        <v>0.434</v>
      </c>
      <c r="JG4" s="108">
        <v>0.434</v>
      </c>
      <c r="JH4" s="108">
        <v>0.442</v>
      </c>
      <c r="JI4" s="108">
        <v>0.44500000000000001</v>
      </c>
      <c r="JJ4" s="108">
        <v>0.40500000000000003</v>
      </c>
      <c r="JK4" s="108">
        <v>0.39900000000000002</v>
      </c>
      <c r="BXV4" s="109">
        <v>1</v>
      </c>
      <c r="BXW4" s="108" t="s">
        <v>404</v>
      </c>
      <c r="BXX4" s="108" t="s">
        <v>154</v>
      </c>
      <c r="BYA4" s="103">
        <v>0</v>
      </c>
      <c r="BYX4" s="108">
        <v>1</v>
      </c>
      <c r="BYY4" s="108">
        <v>4</v>
      </c>
      <c r="CAM4" s="108">
        <v>1</v>
      </c>
      <c r="CAN4" s="108">
        <v>4</v>
      </c>
      <c r="CAO4" s="108">
        <v>0.11</v>
      </c>
      <c r="CAP4" s="108">
        <v>0</v>
      </c>
      <c r="CAQ4" s="108">
        <v>8.8999999999999996E-2</v>
      </c>
      <c r="XFA4" s="106"/>
      <c r="XFB4" s="106"/>
      <c r="XFC4" s="106">
        <v>3</v>
      </c>
      <c r="XFD4" s="106">
        <v>3</v>
      </c>
    </row>
    <row r="5" spans="1:2216 16381:16384">
      <c r="A5" s="106" t="s">
        <v>427</v>
      </c>
      <c r="B5" s="106">
        <v>3</v>
      </c>
      <c r="C5" s="106">
        <v>1</v>
      </c>
      <c r="D5" s="106">
        <v>1</v>
      </c>
      <c r="E5" s="106">
        <v>24</v>
      </c>
      <c r="F5" s="106" t="s">
        <v>424</v>
      </c>
      <c r="GY5" s="95" t="s">
        <v>428</v>
      </c>
      <c r="GZ5" s="108">
        <v>0.26700000000000002</v>
      </c>
      <c r="HA5" s="108">
        <v>0.26900000000000002</v>
      </c>
      <c r="HB5" s="108">
        <v>0.22800000000000001</v>
      </c>
      <c r="HC5" s="108">
        <v>0.25800000000000001</v>
      </c>
      <c r="HD5" s="108">
        <v>0.25700000000000001</v>
      </c>
      <c r="HE5" s="108">
        <v>0.23799999999999999</v>
      </c>
      <c r="HF5" s="108">
        <v>0.249</v>
      </c>
      <c r="HG5" s="108">
        <v>0.249</v>
      </c>
      <c r="HH5" s="108">
        <v>0.20699999999999999</v>
      </c>
      <c r="HI5" s="108">
        <v>0.23699999999999999</v>
      </c>
      <c r="HJ5" s="108">
        <v>0.22500000000000001</v>
      </c>
      <c r="HK5" s="108">
        <v>0.19800000000000001</v>
      </c>
      <c r="HL5" s="108">
        <v>0.16</v>
      </c>
      <c r="HM5" s="108">
        <v>0.222</v>
      </c>
      <c r="HN5" s="108">
        <v>0.187</v>
      </c>
      <c r="HO5" s="108">
        <v>0.22</v>
      </c>
      <c r="HP5" s="108">
        <v>0.214</v>
      </c>
      <c r="HQ5" s="108">
        <v>0.17699999999999999</v>
      </c>
      <c r="HR5" s="108">
        <v>0.2</v>
      </c>
      <c r="HS5" s="108">
        <v>0.2</v>
      </c>
      <c r="HT5" s="108">
        <v>0.13</v>
      </c>
      <c r="HU5" s="108">
        <v>0.189</v>
      </c>
      <c r="HV5" s="108">
        <v>0.183</v>
      </c>
      <c r="HW5" s="108">
        <v>0.152</v>
      </c>
      <c r="HX5" s="108">
        <v>0.17799999999999999</v>
      </c>
      <c r="HY5" s="108">
        <v>0.17699999999999999</v>
      </c>
      <c r="HZ5" s="108">
        <v>0.14299999999999999</v>
      </c>
      <c r="IA5" s="108">
        <v>0.16700000000000001</v>
      </c>
      <c r="IB5" s="108">
        <v>0.16300000000000001</v>
      </c>
      <c r="IC5" s="108">
        <v>9.0999999999999998E-2</v>
      </c>
      <c r="ID5" s="108">
        <v>8.5999999999999993E-2</v>
      </c>
      <c r="IE5" s="108">
        <v>0.14799999999999999</v>
      </c>
      <c r="IF5" s="108">
        <v>0.115</v>
      </c>
      <c r="IG5" s="108">
        <v>0.14299999999999999</v>
      </c>
      <c r="IH5" s="108">
        <v>0.13900000000000001</v>
      </c>
      <c r="II5" s="108">
        <v>0.104</v>
      </c>
      <c r="IJ5" s="108">
        <v>0.27100000000000002</v>
      </c>
      <c r="IK5" s="108">
        <v>0.25800000000000001</v>
      </c>
      <c r="IL5" s="108">
        <v>0.223</v>
      </c>
      <c r="IM5" s="108">
        <v>0.26</v>
      </c>
      <c r="IN5" s="108">
        <v>0.252</v>
      </c>
      <c r="IO5" s="108">
        <v>0.215</v>
      </c>
      <c r="IP5" s="108">
        <v>0.252</v>
      </c>
      <c r="IQ5" s="108">
        <v>0.247</v>
      </c>
      <c r="IR5" s="108">
        <v>0.20899999999999999</v>
      </c>
      <c r="IS5" s="108">
        <v>0.24299999999999999</v>
      </c>
      <c r="IT5" s="108">
        <v>0.23599999999999999</v>
      </c>
      <c r="IU5" s="108">
        <v>0.2</v>
      </c>
      <c r="IV5" s="108">
        <v>0.23599999999999999</v>
      </c>
      <c r="IW5" s="108">
        <v>0.23100000000000001</v>
      </c>
      <c r="IX5" s="108">
        <v>0.19500000000000001</v>
      </c>
      <c r="IY5" s="108">
        <v>0.22800000000000001</v>
      </c>
      <c r="IZ5" s="108">
        <v>0.23400000000000001</v>
      </c>
      <c r="JA5" s="108">
        <v>0.19700000000000001</v>
      </c>
      <c r="JB5" s="108">
        <v>0.224</v>
      </c>
      <c r="JC5" s="108">
        <v>0.22600000000000001</v>
      </c>
      <c r="JD5" s="108">
        <v>0.188</v>
      </c>
      <c r="JE5" s="108">
        <v>0.218</v>
      </c>
      <c r="JF5" s="108">
        <v>0.218</v>
      </c>
      <c r="JG5" s="108">
        <v>0.18099999999999999</v>
      </c>
      <c r="JH5" s="108">
        <v>0.21099999999999999</v>
      </c>
      <c r="JI5" s="108">
        <v>0.21199999999999999</v>
      </c>
      <c r="JJ5" s="108">
        <v>0.17199999999999999</v>
      </c>
      <c r="JK5" s="108">
        <v>0.21099999999999999</v>
      </c>
      <c r="JL5" s="108">
        <v>0.20599999999999999</v>
      </c>
      <c r="JM5" s="108">
        <v>0.155</v>
      </c>
      <c r="JN5" s="108">
        <v>0.193</v>
      </c>
      <c r="JO5" s="108">
        <v>0.19900000000000001</v>
      </c>
      <c r="JP5" s="108">
        <v>0.16</v>
      </c>
      <c r="JQ5" s="108">
        <v>0.193</v>
      </c>
      <c r="JR5" s="108">
        <v>0.184</v>
      </c>
      <c r="JS5" s="108">
        <v>0.14399999999999999</v>
      </c>
      <c r="BXV5" s="109">
        <v>1</v>
      </c>
      <c r="BXW5" s="108" t="s">
        <v>404</v>
      </c>
      <c r="BXX5" s="108" t="s">
        <v>154</v>
      </c>
      <c r="BYA5" s="103">
        <v>0</v>
      </c>
      <c r="BYX5" s="108">
        <v>2</v>
      </c>
      <c r="BYY5" s="108">
        <v>2</v>
      </c>
      <c r="BYZ5" s="108">
        <v>1</v>
      </c>
      <c r="CAM5" s="108">
        <v>1</v>
      </c>
      <c r="CAN5" s="108">
        <v>2</v>
      </c>
      <c r="CAO5" s="108">
        <v>0.12</v>
      </c>
      <c r="CAP5" s="108">
        <v>0.01</v>
      </c>
      <c r="CAQ5" s="108">
        <v>8.8999999999999996E-2</v>
      </c>
      <c r="CAR5" s="108">
        <v>3</v>
      </c>
      <c r="CAS5" s="108">
        <v>3</v>
      </c>
      <c r="CAT5" s="108">
        <v>0.12</v>
      </c>
      <c r="CAU5" s="108">
        <v>0.01</v>
      </c>
      <c r="CAV5" s="108">
        <v>8.8999999999999996E-2</v>
      </c>
      <c r="XFA5" s="106"/>
      <c r="XFB5" s="106"/>
      <c r="XFC5" s="106">
        <v>4</v>
      </c>
      <c r="XFD5" s="106">
        <v>4</v>
      </c>
    </row>
    <row r="6" spans="1:2216 16381:16384">
      <c r="A6" s="106" t="s">
        <v>429</v>
      </c>
      <c r="B6" s="106">
        <v>2</v>
      </c>
      <c r="C6" s="106">
        <v>2</v>
      </c>
      <c r="D6" s="106">
        <v>1</v>
      </c>
      <c r="E6" s="106">
        <v>12</v>
      </c>
      <c r="F6" s="106" t="s">
        <v>424</v>
      </c>
      <c r="GY6" s="95" t="s">
        <v>430</v>
      </c>
      <c r="GZ6" s="108">
        <v>0.377</v>
      </c>
      <c r="HA6" s="108">
        <v>0.45</v>
      </c>
      <c r="HB6" s="108">
        <v>0.439</v>
      </c>
      <c r="HC6" s="108">
        <v>0.379</v>
      </c>
      <c r="HD6" s="108">
        <v>0.375</v>
      </c>
      <c r="HE6" s="108">
        <v>0.42699999999999999</v>
      </c>
      <c r="HF6" s="108">
        <v>0.41599999999999998</v>
      </c>
      <c r="HG6" s="108">
        <v>0.36699999999999999</v>
      </c>
      <c r="HH6" s="108">
        <v>0.37</v>
      </c>
      <c r="HI6" s="108">
        <v>0.40500000000000003</v>
      </c>
      <c r="HJ6" s="108">
        <v>0.39</v>
      </c>
      <c r="HK6" s="108">
        <v>0.36099999999999999</v>
      </c>
      <c r="HL6" s="108">
        <v>0.377</v>
      </c>
      <c r="HM6" s="108">
        <v>0.4</v>
      </c>
      <c r="HN6" s="108">
        <v>0.39200000000000002</v>
      </c>
      <c r="HO6" s="108">
        <v>0.375</v>
      </c>
      <c r="HP6" s="108">
        <v>0.39200000000000002</v>
      </c>
      <c r="HQ6" s="108">
        <v>0.39100000000000001</v>
      </c>
      <c r="HR6" s="108">
        <v>0.40100000000000002</v>
      </c>
      <c r="HS6" s="108">
        <v>0.38700000000000001</v>
      </c>
      <c r="HT6" s="108">
        <v>0.40600000000000003</v>
      </c>
      <c r="HU6" s="108">
        <v>0.39600000000000002</v>
      </c>
      <c r="HV6" s="108">
        <v>0.39300000000000002</v>
      </c>
      <c r="HW6" s="108">
        <v>0.40300000000000002</v>
      </c>
      <c r="BXV6" s="109">
        <v>1</v>
      </c>
      <c r="BXW6" s="108" t="s">
        <v>404</v>
      </c>
      <c r="BXX6" s="108" t="s">
        <v>154</v>
      </c>
      <c r="BYA6" s="103">
        <v>0</v>
      </c>
      <c r="BYD6" s="103">
        <v>0</v>
      </c>
      <c r="BYX6" s="108">
        <v>1</v>
      </c>
      <c r="BYY6" s="108">
        <v>2</v>
      </c>
      <c r="CAM6" s="108">
        <v>1</v>
      </c>
      <c r="CAN6" s="108">
        <v>2</v>
      </c>
      <c r="CAO6" s="108">
        <v>0.12</v>
      </c>
      <c r="CAP6" s="108">
        <v>0.01</v>
      </c>
      <c r="CAQ6" s="108">
        <v>8.8999999999999996E-2</v>
      </c>
      <c r="XFA6" s="106"/>
      <c r="XFB6" s="106"/>
      <c r="XFC6" s="106">
        <v>5</v>
      </c>
      <c r="XFD6" s="106">
        <v>5</v>
      </c>
    </row>
    <row r="7" spans="1:2216 16381:16384">
      <c r="A7" s="106" t="s">
        <v>431</v>
      </c>
      <c r="B7" s="106">
        <v>4</v>
      </c>
      <c r="C7" s="106">
        <v>1</v>
      </c>
      <c r="D7" s="106">
        <v>1</v>
      </c>
      <c r="E7" s="106">
        <v>10</v>
      </c>
      <c r="F7" s="106" t="s">
        <v>424</v>
      </c>
      <c r="GY7" s="95" t="s">
        <v>430</v>
      </c>
      <c r="GZ7" s="108">
        <v>0.41499999999999998</v>
      </c>
      <c r="HA7" s="108">
        <v>0.41099999999999998</v>
      </c>
      <c r="HB7" s="108">
        <v>0.47199999999999998</v>
      </c>
      <c r="HC7" s="108">
        <v>0.47299999999999998</v>
      </c>
      <c r="HD7" s="108">
        <v>0.439</v>
      </c>
      <c r="HE7" s="108">
        <v>0.436</v>
      </c>
      <c r="HF7" s="108">
        <v>0.498</v>
      </c>
      <c r="HG7" s="108">
        <v>0.495</v>
      </c>
      <c r="HH7" s="108">
        <v>0.46200000000000002</v>
      </c>
      <c r="HI7" s="108">
        <v>0.45900000000000002</v>
      </c>
      <c r="HJ7" s="108">
        <v>0.51600000000000001</v>
      </c>
      <c r="HK7" s="108">
        <v>0.51400000000000001</v>
      </c>
      <c r="HL7" s="108">
        <v>0.47899999999999998</v>
      </c>
      <c r="HM7" s="108">
        <v>0.47799999999999998</v>
      </c>
      <c r="HN7" s="108">
        <v>0.52800000000000002</v>
      </c>
      <c r="HO7" s="108">
        <v>0.52900000000000003</v>
      </c>
      <c r="HP7" s="108">
        <v>0.49299999999999999</v>
      </c>
      <c r="HQ7" s="108">
        <v>0.495</v>
      </c>
      <c r="HR7" s="108">
        <v>0.54</v>
      </c>
      <c r="HS7" s="108">
        <v>0.54100000000000004</v>
      </c>
      <c r="HT7" s="108">
        <v>0.41</v>
      </c>
      <c r="HU7" s="108">
        <v>0.41099999999999998</v>
      </c>
      <c r="HV7" s="108">
        <v>0.44600000000000001</v>
      </c>
      <c r="HW7" s="108">
        <v>0.44800000000000001</v>
      </c>
      <c r="HX7" s="108">
        <v>0.42899999999999999</v>
      </c>
      <c r="HY7" s="108">
        <v>0.42299999999999999</v>
      </c>
      <c r="HZ7" s="108">
        <v>0.47299999999999998</v>
      </c>
      <c r="IA7" s="108">
        <v>0.47</v>
      </c>
      <c r="IB7" s="108">
        <v>0.45900000000000002</v>
      </c>
      <c r="IC7" s="108">
        <v>0.45900000000000002</v>
      </c>
      <c r="ID7" s="108">
        <v>0.503</v>
      </c>
      <c r="IE7" s="108">
        <v>0.503</v>
      </c>
      <c r="IF7" s="108">
        <v>0.48799999999999999</v>
      </c>
      <c r="IG7" s="108">
        <v>0.48299999999999998</v>
      </c>
      <c r="IH7" s="108">
        <v>0.52700000000000002</v>
      </c>
      <c r="II7" s="108">
        <v>0.52300000000000002</v>
      </c>
      <c r="IJ7" s="108">
        <v>0.51700000000000002</v>
      </c>
      <c r="IK7" s="108">
        <v>0.51500000000000001</v>
      </c>
      <c r="IL7" s="108">
        <v>0.55100000000000005</v>
      </c>
      <c r="IM7" s="108">
        <v>0.54600000000000004</v>
      </c>
      <c r="BXV7" s="109">
        <v>1</v>
      </c>
      <c r="BXW7" s="108" t="s">
        <v>404</v>
      </c>
      <c r="BXX7" s="108" t="s">
        <v>154</v>
      </c>
      <c r="BYA7" s="103">
        <v>0</v>
      </c>
      <c r="BYX7" s="108">
        <v>1</v>
      </c>
      <c r="BYY7" s="108">
        <v>4</v>
      </c>
      <c r="CAM7" s="108">
        <v>1</v>
      </c>
      <c r="CAN7" s="108">
        <v>4</v>
      </c>
      <c r="CAO7" s="108">
        <v>0.125</v>
      </c>
      <c r="CAP7" s="108">
        <v>0</v>
      </c>
      <c r="CAQ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432</v>
      </c>
      <c r="B8" s="106">
        <v>4</v>
      </c>
      <c r="C8" s="106">
        <v>1</v>
      </c>
      <c r="D8" s="106">
        <v>1</v>
      </c>
      <c r="E8" s="106">
        <v>20</v>
      </c>
      <c r="F8" s="106" t="s">
        <v>424</v>
      </c>
      <c r="GY8" s="95" t="s">
        <v>433</v>
      </c>
      <c r="GZ8" s="108">
        <v>0.215</v>
      </c>
      <c r="HA8" s="108">
        <v>0.23</v>
      </c>
      <c r="HB8" s="108">
        <v>0.19700000000000001</v>
      </c>
      <c r="HC8" s="108">
        <v>0.193</v>
      </c>
      <c r="HD8" s="108">
        <v>0.20799999999999999</v>
      </c>
      <c r="HE8" s="108">
        <v>0.21</v>
      </c>
      <c r="HF8" s="108">
        <v>0.18099999999999999</v>
      </c>
      <c r="HG8" s="108">
        <v>0.17699999999999999</v>
      </c>
      <c r="HH8" s="108">
        <v>0.19800000000000001</v>
      </c>
      <c r="HI8" s="108">
        <v>0.19700000000000001</v>
      </c>
      <c r="HJ8" s="108">
        <v>0.17299999999999999</v>
      </c>
      <c r="HK8" s="108">
        <v>0.17199999999999999</v>
      </c>
      <c r="HL8" s="108">
        <v>0.19500000000000001</v>
      </c>
      <c r="HM8" s="108">
        <v>0.19500000000000001</v>
      </c>
      <c r="HN8" s="108">
        <v>0.17100000000000001</v>
      </c>
      <c r="HO8" s="108">
        <v>0.17100000000000001</v>
      </c>
      <c r="HP8" s="108">
        <v>0.19600000000000001</v>
      </c>
      <c r="HQ8" s="108">
        <v>0.19500000000000001</v>
      </c>
      <c r="HR8" s="108">
        <v>0.17</v>
      </c>
      <c r="HS8" s="108">
        <v>0.17</v>
      </c>
      <c r="HT8" s="108">
        <v>0.19700000000000001</v>
      </c>
      <c r="HU8" s="108">
        <v>0.19600000000000001</v>
      </c>
      <c r="HV8" s="108">
        <v>0.16800000000000001</v>
      </c>
      <c r="HW8" s="108">
        <v>0.16800000000000001</v>
      </c>
      <c r="HX8" s="108">
        <v>0.19800000000000001</v>
      </c>
      <c r="HY8" s="108">
        <v>0.19700000000000001</v>
      </c>
      <c r="HZ8" s="108">
        <v>0.16800000000000001</v>
      </c>
      <c r="IA8" s="108">
        <v>0.16700000000000001</v>
      </c>
      <c r="IB8" s="108">
        <v>0.19600000000000001</v>
      </c>
      <c r="IC8" s="108">
        <v>0.19800000000000001</v>
      </c>
      <c r="ID8" s="108">
        <v>0.16400000000000001</v>
      </c>
      <c r="IE8" s="108">
        <v>0.16500000000000001</v>
      </c>
      <c r="IF8" s="108">
        <v>0.19900000000000001</v>
      </c>
      <c r="IG8" s="108">
        <v>0.19800000000000001</v>
      </c>
      <c r="IH8" s="108">
        <v>0.16700000000000001</v>
      </c>
      <c r="II8" s="108">
        <v>0.16600000000000001</v>
      </c>
      <c r="IJ8" s="108">
        <v>0.20200000000000001</v>
      </c>
      <c r="IK8" s="108">
        <v>0.2</v>
      </c>
      <c r="IL8" s="108">
        <v>0.16800000000000001</v>
      </c>
      <c r="IM8" s="108">
        <v>0.17</v>
      </c>
      <c r="IN8" s="108">
        <v>0.214</v>
      </c>
      <c r="IO8" s="108">
        <v>0.214</v>
      </c>
      <c r="IP8" s="108">
        <v>0.17599999999999999</v>
      </c>
      <c r="IQ8" s="108">
        <v>0.17699999999999999</v>
      </c>
      <c r="IR8" s="108">
        <v>0.20599999999999999</v>
      </c>
      <c r="IS8" s="108">
        <v>0.20799999999999999</v>
      </c>
      <c r="IT8" s="108">
        <v>0.17799999999999999</v>
      </c>
      <c r="IU8" s="108">
        <v>0.16900000000000001</v>
      </c>
      <c r="IV8" s="108">
        <v>0.21</v>
      </c>
      <c r="IW8" s="108">
        <v>0.21</v>
      </c>
      <c r="IX8" s="108">
        <v>0.184</v>
      </c>
      <c r="IY8" s="108">
        <v>0.18</v>
      </c>
      <c r="IZ8" s="108">
        <v>0.224</v>
      </c>
      <c r="JA8" s="108">
        <v>0.215</v>
      </c>
      <c r="JB8" s="108">
        <v>0.191</v>
      </c>
      <c r="JC8" s="108">
        <v>0.19800000000000001</v>
      </c>
      <c r="JD8" s="108">
        <v>0.245</v>
      </c>
      <c r="JE8" s="108">
        <v>0.23899999999999999</v>
      </c>
      <c r="JF8" s="108">
        <v>0.21199999999999999</v>
      </c>
      <c r="JG8" s="108">
        <v>0.216</v>
      </c>
      <c r="JH8" s="108">
        <v>0.26400000000000001</v>
      </c>
      <c r="JI8" s="108">
        <v>0.255</v>
      </c>
      <c r="JJ8" s="108">
        <v>0.22900000000000001</v>
      </c>
      <c r="JK8" s="108">
        <v>0.23699999999999999</v>
      </c>
      <c r="JL8" s="108">
        <v>0.28299999999999997</v>
      </c>
      <c r="JM8" s="108">
        <v>0.27300000000000002</v>
      </c>
      <c r="JN8" s="108">
        <v>0.248</v>
      </c>
      <c r="JO8" s="108">
        <v>0.25600000000000001</v>
      </c>
      <c r="JP8" s="108">
        <v>0.29499999999999998</v>
      </c>
      <c r="JQ8" s="108">
        <v>0.29499999999999998</v>
      </c>
      <c r="JR8" s="108">
        <v>0.27100000000000002</v>
      </c>
      <c r="JS8" s="108">
        <v>0.26900000000000002</v>
      </c>
      <c r="JT8" s="108">
        <v>0.311</v>
      </c>
      <c r="JU8" s="108">
        <v>0.31</v>
      </c>
      <c r="JV8" s="108">
        <v>0.28699999999999998</v>
      </c>
      <c r="JW8" s="108">
        <v>0.28499999999999998</v>
      </c>
      <c r="JX8" s="108">
        <v>0.32400000000000001</v>
      </c>
      <c r="JY8" s="108">
        <v>0.32200000000000001</v>
      </c>
      <c r="JZ8" s="108">
        <v>0.30099999999999999</v>
      </c>
      <c r="KA8" s="108">
        <v>0.30499999999999999</v>
      </c>
      <c r="BXV8" s="109">
        <v>1</v>
      </c>
      <c r="BXW8" s="108" t="s">
        <v>404</v>
      </c>
      <c r="BXX8" s="108" t="s">
        <v>154</v>
      </c>
      <c r="BYA8" s="103">
        <v>0</v>
      </c>
      <c r="BYX8" s="108">
        <v>2</v>
      </c>
      <c r="BYY8" s="108">
        <v>2</v>
      </c>
      <c r="BYZ8" s="108">
        <v>2</v>
      </c>
      <c r="CAM8" s="108">
        <v>1</v>
      </c>
      <c r="CAN8" s="108">
        <v>2</v>
      </c>
      <c r="CAO8" s="108">
        <v>0.115</v>
      </c>
      <c r="CAP8" s="108">
        <v>0.01</v>
      </c>
      <c r="CAQ8" s="108">
        <v>8.8999999999999996E-2</v>
      </c>
      <c r="CAR8" s="108">
        <v>3</v>
      </c>
      <c r="CAS8" s="108">
        <v>4</v>
      </c>
      <c r="CAT8" s="108">
        <v>0.115</v>
      </c>
      <c r="CAU8" s="108">
        <v>0.01</v>
      </c>
      <c r="CAV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434</v>
      </c>
      <c r="B9" s="106">
        <v>2</v>
      </c>
      <c r="C9" s="106">
        <v>2</v>
      </c>
      <c r="D9" s="106">
        <v>2</v>
      </c>
      <c r="E9" s="106">
        <v>24</v>
      </c>
      <c r="F9" s="106" t="s">
        <v>424</v>
      </c>
      <c r="GY9" s="95" t="s">
        <v>435</v>
      </c>
      <c r="GZ9" s="108">
        <v>0.65700000000000003</v>
      </c>
      <c r="HA9" s="108">
        <v>0.65400000000000003</v>
      </c>
      <c r="HB9" s="108">
        <v>0.65500000000000003</v>
      </c>
      <c r="HC9" s="108">
        <v>0.65300000000000002</v>
      </c>
      <c r="HD9" s="108">
        <v>0.65</v>
      </c>
      <c r="HE9" s="108">
        <v>0.64100000000000001</v>
      </c>
      <c r="HF9" s="108">
        <v>0.63900000000000001</v>
      </c>
      <c r="HG9" s="108">
        <v>0.628</v>
      </c>
      <c r="HH9" s="108">
        <v>0.625</v>
      </c>
      <c r="HI9" s="108">
        <v>0.62</v>
      </c>
      <c r="HJ9" s="108">
        <v>0.621</v>
      </c>
      <c r="HK9" s="108">
        <v>0.60599999999999998</v>
      </c>
      <c r="HL9" s="108">
        <v>0.59599999999999997</v>
      </c>
      <c r="HM9" s="108">
        <v>0.59799999999999998</v>
      </c>
      <c r="HN9" s="108">
        <v>0.59</v>
      </c>
      <c r="HO9" s="108">
        <v>0.56100000000000005</v>
      </c>
      <c r="HP9" s="108">
        <v>0.65800000000000003</v>
      </c>
      <c r="HQ9" s="108">
        <v>0.65500000000000003</v>
      </c>
      <c r="HR9" s="108">
        <v>0.65300000000000002</v>
      </c>
      <c r="HS9" s="108">
        <v>0.65200000000000002</v>
      </c>
      <c r="HT9" s="108">
        <v>0.64800000000000002</v>
      </c>
      <c r="HU9" s="108">
        <v>0.63800000000000001</v>
      </c>
      <c r="HV9" s="108">
        <v>0.63600000000000001</v>
      </c>
      <c r="HW9" s="108">
        <v>0.624</v>
      </c>
      <c r="HX9" s="108">
        <v>0.60699999999999998</v>
      </c>
      <c r="HY9" s="108">
        <v>0.59799999999999998</v>
      </c>
      <c r="HZ9" s="108">
        <v>0.59299999999999997</v>
      </c>
      <c r="IA9" s="108">
        <v>0.59099999999999997</v>
      </c>
      <c r="IB9" s="108">
        <v>0.58599999999999997</v>
      </c>
      <c r="IC9" s="108">
        <v>0.57299999999999995</v>
      </c>
      <c r="ID9" s="108">
        <v>0.56799999999999995</v>
      </c>
      <c r="IE9" s="108">
        <v>0.55800000000000005</v>
      </c>
      <c r="IF9" s="108">
        <v>0.55300000000000005</v>
      </c>
      <c r="IG9" s="108">
        <v>0.55200000000000005</v>
      </c>
      <c r="IH9" s="108">
        <v>0.55100000000000005</v>
      </c>
      <c r="II9" s="108">
        <v>0.53900000000000003</v>
      </c>
      <c r="IJ9" s="108">
        <v>0.53100000000000003</v>
      </c>
      <c r="IK9" s="108">
        <v>0.53500000000000003</v>
      </c>
      <c r="IL9" s="108">
        <v>0.52600000000000002</v>
      </c>
      <c r="IM9" s="108">
        <v>0.498</v>
      </c>
      <c r="IN9" s="108">
        <v>0.59699999999999998</v>
      </c>
      <c r="IO9" s="108">
        <v>0.59199999999999997</v>
      </c>
      <c r="IP9" s="108">
        <v>0.59</v>
      </c>
      <c r="IQ9" s="108">
        <v>0.58899999999999997</v>
      </c>
      <c r="IR9" s="108">
        <v>0.58499999999999996</v>
      </c>
      <c r="IS9" s="108">
        <v>0.56899999999999995</v>
      </c>
      <c r="IT9" s="108">
        <v>0.56799999999999995</v>
      </c>
      <c r="IU9" s="108">
        <v>0.55600000000000005</v>
      </c>
      <c r="IV9" s="108">
        <v>0.62</v>
      </c>
      <c r="IW9" s="108">
        <v>0.61799999999999999</v>
      </c>
      <c r="IX9" s="108">
        <v>0.61699999999999999</v>
      </c>
      <c r="IY9" s="108">
        <v>0.60299999999999998</v>
      </c>
      <c r="IZ9" s="108">
        <v>0.59099999999999997</v>
      </c>
      <c r="JA9" s="108">
        <v>0.59399999999999997</v>
      </c>
      <c r="JB9" s="108">
        <v>0.58899999999999997</v>
      </c>
      <c r="JC9" s="108">
        <v>0.56299999999999994</v>
      </c>
      <c r="JD9" s="108">
        <v>0.65200000000000002</v>
      </c>
      <c r="JE9" s="108">
        <v>0.64700000000000002</v>
      </c>
      <c r="JF9" s="108">
        <v>0.64700000000000002</v>
      </c>
      <c r="JG9" s="108">
        <v>0.64600000000000002</v>
      </c>
      <c r="JH9" s="108">
        <v>0.64100000000000001</v>
      </c>
      <c r="JI9" s="108">
        <v>0.629</v>
      </c>
      <c r="JJ9" s="108">
        <v>0.627</v>
      </c>
      <c r="JK9" s="108">
        <v>0.61899999999999999</v>
      </c>
      <c r="JL9" s="108">
        <v>0.61299999999999999</v>
      </c>
      <c r="JM9" s="108">
        <v>0.61099999999999999</v>
      </c>
      <c r="JN9" s="108">
        <v>0.60899999999999999</v>
      </c>
      <c r="JO9" s="108">
        <v>0.6</v>
      </c>
      <c r="JP9" s="108">
        <v>0.58699999999999997</v>
      </c>
      <c r="JQ9" s="108">
        <v>0.59</v>
      </c>
      <c r="JR9" s="108">
        <v>0.58499999999999996</v>
      </c>
      <c r="JS9" s="108">
        <v>0.55900000000000005</v>
      </c>
      <c r="JT9" s="108">
        <v>0.55100000000000005</v>
      </c>
      <c r="JU9" s="108">
        <v>0.55100000000000005</v>
      </c>
      <c r="JV9" s="108">
        <v>0.55200000000000005</v>
      </c>
      <c r="JW9" s="108">
        <v>0.54200000000000004</v>
      </c>
      <c r="JX9" s="108">
        <v>0.53400000000000003</v>
      </c>
      <c r="JY9" s="108">
        <v>0.53600000000000003</v>
      </c>
      <c r="JZ9" s="108">
        <v>0.53300000000000003</v>
      </c>
      <c r="KA9" s="108">
        <v>0.50800000000000001</v>
      </c>
      <c r="KB9" s="108">
        <v>0.59</v>
      </c>
      <c r="KC9" s="108">
        <v>0.58099999999999996</v>
      </c>
      <c r="KD9" s="108">
        <v>0.57999999999999996</v>
      </c>
      <c r="KE9" s="108">
        <v>0.57899999999999996</v>
      </c>
      <c r="KF9" s="108">
        <v>0.57199999999999995</v>
      </c>
      <c r="KG9" s="108">
        <v>0.55900000000000005</v>
      </c>
      <c r="KH9" s="108">
        <v>0.56000000000000005</v>
      </c>
      <c r="KI9" s="108">
        <v>0.54600000000000004</v>
      </c>
      <c r="KJ9" s="108">
        <v>0.54</v>
      </c>
      <c r="KK9" s="108">
        <v>0.54200000000000004</v>
      </c>
      <c r="KL9" s="108">
        <v>0.54100000000000004</v>
      </c>
      <c r="KM9" s="108">
        <v>0.53500000000000003</v>
      </c>
      <c r="KN9" s="108">
        <v>0.52400000000000002</v>
      </c>
      <c r="KO9" s="108">
        <v>0.52800000000000002</v>
      </c>
      <c r="KP9" s="108">
        <v>0.52400000000000002</v>
      </c>
      <c r="KQ9" s="108">
        <v>0.503</v>
      </c>
      <c r="BXV9" s="109">
        <v>1</v>
      </c>
      <c r="BXW9" s="108" t="s">
        <v>404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0.126</v>
      </c>
      <c r="CAP9" s="108">
        <v>0.01</v>
      </c>
      <c r="CAQ9" s="108">
        <v>0.14899999999999999</v>
      </c>
      <c r="XFA9" s="106"/>
      <c r="XFB9" s="106"/>
      <c r="XFC9" s="106">
        <v>8.1</v>
      </c>
      <c r="XFD9" s="106"/>
    </row>
    <row r="10" spans="1:2216 16381:16384">
      <c r="A10" s="106" t="s">
        <v>436</v>
      </c>
      <c r="B10" s="106">
        <v>4</v>
      </c>
      <c r="C10" s="106">
        <v>1</v>
      </c>
      <c r="D10" s="106">
        <v>1</v>
      </c>
      <c r="E10" s="106">
        <v>20</v>
      </c>
      <c r="F10" s="106" t="s">
        <v>424</v>
      </c>
      <c r="GY10" s="95" t="s">
        <v>437</v>
      </c>
      <c r="GZ10" s="108">
        <v>0.27500000000000002</v>
      </c>
      <c r="HA10" s="108">
        <v>0.27500000000000002</v>
      </c>
      <c r="HB10" s="108">
        <v>0.22700000000000001</v>
      </c>
      <c r="HC10" s="108">
        <v>0.22600000000000001</v>
      </c>
      <c r="HD10" s="108">
        <v>0.27500000000000002</v>
      </c>
      <c r="HE10" s="108">
        <v>0.27500000000000002</v>
      </c>
      <c r="HF10" s="108">
        <v>0.22600000000000001</v>
      </c>
      <c r="HG10" s="108">
        <v>0.22700000000000001</v>
      </c>
      <c r="HH10" s="108">
        <v>0.27800000000000002</v>
      </c>
      <c r="HI10" s="108">
        <v>0.27800000000000002</v>
      </c>
      <c r="HJ10" s="108">
        <v>0.23</v>
      </c>
      <c r="HK10" s="108">
        <v>0.22600000000000001</v>
      </c>
      <c r="HL10" s="108">
        <v>0.28100000000000003</v>
      </c>
      <c r="HM10" s="108">
        <v>0.28000000000000003</v>
      </c>
      <c r="HN10" s="108">
        <v>0.22800000000000001</v>
      </c>
      <c r="HO10" s="108">
        <v>0.224</v>
      </c>
      <c r="HP10" s="108">
        <v>0.28000000000000003</v>
      </c>
      <c r="HQ10" s="108">
        <v>0.28000000000000003</v>
      </c>
      <c r="HR10" s="108">
        <v>0.22500000000000001</v>
      </c>
      <c r="HS10" s="108">
        <v>0.222</v>
      </c>
      <c r="HT10" s="108">
        <v>0.28000000000000003</v>
      </c>
      <c r="HU10" s="108">
        <v>0.28000000000000003</v>
      </c>
      <c r="HV10" s="108">
        <v>0.22</v>
      </c>
      <c r="HW10" s="108">
        <v>0.221</v>
      </c>
      <c r="HX10" s="108">
        <v>0.27500000000000002</v>
      </c>
      <c r="HY10" s="108">
        <v>0.27600000000000002</v>
      </c>
      <c r="HZ10" s="108">
        <v>0.221</v>
      </c>
      <c r="IA10" s="108">
        <v>0.219</v>
      </c>
      <c r="IB10" s="108">
        <v>0.27100000000000002</v>
      </c>
      <c r="IC10" s="108">
        <v>0.27</v>
      </c>
      <c r="ID10" s="108">
        <v>0.216</v>
      </c>
      <c r="IE10" s="108">
        <v>0.21299999999999999</v>
      </c>
      <c r="IF10" s="108">
        <v>0.26800000000000002</v>
      </c>
      <c r="IG10" s="108">
        <v>0.26600000000000001</v>
      </c>
      <c r="IH10" s="108">
        <v>0.21099999999999999</v>
      </c>
      <c r="II10" s="108">
        <v>0.20899999999999999</v>
      </c>
      <c r="IJ10" s="108">
        <v>0.26100000000000001</v>
      </c>
      <c r="IK10" s="108">
        <v>0.26100000000000001</v>
      </c>
      <c r="IL10" s="108">
        <v>0.20200000000000001</v>
      </c>
      <c r="IM10" s="108">
        <v>0.19800000000000001</v>
      </c>
      <c r="IN10" s="108">
        <v>0.215</v>
      </c>
      <c r="IO10" s="108">
        <v>0.20399999999999999</v>
      </c>
      <c r="IP10" s="108">
        <v>0.14899999999999999</v>
      </c>
      <c r="IQ10" s="108">
        <v>0.14099999999999999</v>
      </c>
      <c r="IR10" s="108">
        <v>0.21299999999999999</v>
      </c>
      <c r="IS10" s="108">
        <v>0.21</v>
      </c>
      <c r="IT10" s="108">
        <v>0.14899999999999999</v>
      </c>
      <c r="IU10" s="108">
        <v>0.14799999999999999</v>
      </c>
      <c r="IV10" s="108">
        <v>0.218</v>
      </c>
      <c r="IW10" s="108">
        <v>0.216</v>
      </c>
      <c r="IX10" s="108">
        <v>0.156</v>
      </c>
      <c r="IY10" s="108">
        <v>0.15</v>
      </c>
      <c r="IZ10" s="108">
        <v>0.218</v>
      </c>
      <c r="JA10" s="108">
        <v>0.223</v>
      </c>
      <c r="JB10" s="108">
        <v>0.153</v>
      </c>
      <c r="JC10" s="108">
        <v>0.155</v>
      </c>
      <c r="JD10" s="108">
        <v>0.222</v>
      </c>
      <c r="JE10" s="108">
        <v>0.22700000000000001</v>
      </c>
      <c r="JF10" s="108">
        <v>0.157</v>
      </c>
      <c r="JG10" s="108">
        <v>0.16200000000000001</v>
      </c>
      <c r="JH10" s="108">
        <v>0.23300000000000001</v>
      </c>
      <c r="JI10" s="108">
        <v>0.23400000000000001</v>
      </c>
      <c r="JJ10" s="108">
        <v>0.16400000000000001</v>
      </c>
      <c r="JK10" s="108">
        <v>0.16500000000000001</v>
      </c>
      <c r="JL10" s="108">
        <v>0.23599999999999999</v>
      </c>
      <c r="JM10" s="108">
        <v>0.23</v>
      </c>
      <c r="JN10" s="108">
        <v>0.17499999999999999</v>
      </c>
      <c r="JO10" s="108">
        <v>0.16800000000000001</v>
      </c>
      <c r="JP10" s="108">
        <v>0.23599999999999999</v>
      </c>
      <c r="JQ10" s="108">
        <v>0.23100000000000001</v>
      </c>
      <c r="JR10" s="108">
        <v>0.17699999999999999</v>
      </c>
      <c r="JS10" s="108">
        <v>0.17299999999999999</v>
      </c>
      <c r="JT10" s="108">
        <v>0.23499999999999999</v>
      </c>
      <c r="JU10" s="108">
        <v>0.23</v>
      </c>
      <c r="JV10" s="108">
        <v>0.17799999999999999</v>
      </c>
      <c r="JW10" s="108">
        <v>0.17199999999999999</v>
      </c>
      <c r="JX10" s="108">
        <v>0.216</v>
      </c>
      <c r="JY10" s="108">
        <v>0.20799999999999999</v>
      </c>
      <c r="JZ10" s="108">
        <v>0.158</v>
      </c>
      <c r="KA10" s="108">
        <v>0.15</v>
      </c>
      <c r="BXV10" s="109">
        <v>1</v>
      </c>
      <c r="BXW10" s="108" t="s">
        <v>404</v>
      </c>
      <c r="BXX10" s="108" t="s">
        <v>154</v>
      </c>
      <c r="BYA10" s="103">
        <v>0</v>
      </c>
      <c r="BYX10" s="108">
        <v>2</v>
      </c>
      <c r="BYY10" s="108">
        <v>2</v>
      </c>
      <c r="BYZ10" s="108">
        <v>2</v>
      </c>
      <c r="CAM10" s="108">
        <v>1</v>
      </c>
      <c r="CAN10" s="108">
        <v>2</v>
      </c>
      <c r="CAO10" s="108">
        <v>0.12</v>
      </c>
      <c r="CAP10" s="108">
        <v>0.01</v>
      </c>
      <c r="CAQ10" s="108">
        <v>8.8999999999999996E-2</v>
      </c>
      <c r="CAR10" s="108">
        <v>3</v>
      </c>
      <c r="CAS10" s="108">
        <v>4</v>
      </c>
      <c r="CAT10" s="108">
        <v>0.12</v>
      </c>
      <c r="CAU10" s="108">
        <v>0.01</v>
      </c>
      <c r="CAV10" s="108">
        <v>8.8999999999999996E-2</v>
      </c>
      <c r="XFA10" s="106"/>
      <c r="XFB10" s="106"/>
      <c r="XFC10" s="106">
        <v>8.1999999999999993</v>
      </c>
      <c r="XFD10" s="106"/>
    </row>
    <row r="11" spans="1:2216 16381:16384">
      <c r="A11" s="106" t="s">
        <v>438</v>
      </c>
      <c r="B11" s="106">
        <v>4</v>
      </c>
      <c r="C11" s="106">
        <v>1</v>
      </c>
      <c r="D11" s="106">
        <v>3</v>
      </c>
      <c r="E11" s="106">
        <v>10</v>
      </c>
      <c r="F11" s="106" t="s">
        <v>424</v>
      </c>
      <c r="GY11" s="95" t="s">
        <v>439</v>
      </c>
      <c r="GZ11" s="108">
        <v>0.77</v>
      </c>
      <c r="HA11" s="108">
        <v>0.78100000000000003</v>
      </c>
      <c r="HB11" s="108">
        <v>0.77400000000000002</v>
      </c>
      <c r="HC11" s="108">
        <v>0.78100000000000003</v>
      </c>
      <c r="HD11" s="108">
        <v>0.76500000000000001</v>
      </c>
      <c r="HE11" s="108">
        <v>0.77400000000000002</v>
      </c>
      <c r="HF11" s="108">
        <v>0.76400000000000001</v>
      </c>
      <c r="HG11" s="108">
        <v>0.77</v>
      </c>
      <c r="HH11" s="108">
        <v>0.75600000000000001</v>
      </c>
      <c r="HI11" s="108">
        <v>0.76200000000000001</v>
      </c>
      <c r="HJ11" s="108">
        <v>0.753</v>
      </c>
      <c r="HK11" s="108">
        <v>0.75800000000000001</v>
      </c>
      <c r="HL11" s="108">
        <v>0.749</v>
      </c>
      <c r="HM11" s="108">
        <v>0.754</v>
      </c>
      <c r="HN11" s="108">
        <v>0.745</v>
      </c>
      <c r="HO11" s="108">
        <v>0.749</v>
      </c>
      <c r="HP11" s="108">
        <v>0.73899999999999999</v>
      </c>
      <c r="HQ11" s="108">
        <v>0.745</v>
      </c>
      <c r="HR11" s="108">
        <v>0.73199999999999998</v>
      </c>
      <c r="HS11" s="108">
        <v>0.73799999999999999</v>
      </c>
      <c r="HT11" s="108">
        <v>0.72299999999999998</v>
      </c>
      <c r="HU11" s="108">
        <v>0.72899999999999998</v>
      </c>
      <c r="HV11" s="108">
        <v>0.72</v>
      </c>
      <c r="HW11" s="108">
        <v>0.72499999999999998</v>
      </c>
      <c r="HX11" s="108">
        <v>0.71499999999999997</v>
      </c>
      <c r="HY11" s="108">
        <v>0.72</v>
      </c>
      <c r="HZ11" s="108">
        <v>0.70599999999999996</v>
      </c>
      <c r="IA11" s="108">
        <v>0.71099999999999997</v>
      </c>
      <c r="IB11" s="108">
        <v>0.69899999999999995</v>
      </c>
      <c r="IC11" s="108">
        <v>0.70499999999999996</v>
      </c>
      <c r="ID11" s="108">
        <v>0.69</v>
      </c>
      <c r="IE11" s="108">
        <v>0.69599999999999995</v>
      </c>
      <c r="IF11" s="108">
        <v>0.68100000000000005</v>
      </c>
      <c r="IG11" s="108">
        <v>0.68500000000000005</v>
      </c>
      <c r="IH11" s="108">
        <v>0.67300000000000004</v>
      </c>
      <c r="II11" s="108">
        <v>0.67700000000000005</v>
      </c>
      <c r="IJ11" s="108">
        <v>0.66400000000000003</v>
      </c>
      <c r="IK11" s="108">
        <v>0.67</v>
      </c>
      <c r="IL11" s="108">
        <v>0.65700000000000003</v>
      </c>
      <c r="IM11" s="108">
        <v>0.66400000000000003</v>
      </c>
      <c r="IN11" s="108">
        <v>0.80900000000000005</v>
      </c>
      <c r="IO11" s="108">
        <v>0.80700000000000005</v>
      </c>
      <c r="IP11" s="108">
        <v>0.78900000000000003</v>
      </c>
      <c r="IQ11" s="108">
        <v>0.79400000000000004</v>
      </c>
      <c r="IR11" s="108">
        <v>0.79400000000000004</v>
      </c>
      <c r="IS11" s="108">
        <v>0.79900000000000004</v>
      </c>
      <c r="IT11" s="108">
        <v>0.78</v>
      </c>
      <c r="IU11" s="108">
        <v>0.78600000000000003</v>
      </c>
      <c r="IV11" s="108">
        <v>0.78900000000000003</v>
      </c>
      <c r="IW11" s="108">
        <v>0.79300000000000004</v>
      </c>
      <c r="IX11" s="108">
        <v>0.77300000000000002</v>
      </c>
      <c r="IY11" s="108">
        <v>0.78</v>
      </c>
      <c r="IZ11" s="108">
        <v>0.78100000000000003</v>
      </c>
      <c r="JA11" s="108">
        <v>0.78600000000000003</v>
      </c>
      <c r="JB11" s="108">
        <v>0.76700000000000002</v>
      </c>
      <c r="JC11" s="108">
        <v>0.77300000000000002</v>
      </c>
      <c r="JD11" s="108">
        <v>0.77200000000000002</v>
      </c>
      <c r="JE11" s="108">
        <v>0.77700000000000002</v>
      </c>
      <c r="JF11" s="108">
        <v>0.75700000000000001</v>
      </c>
      <c r="JG11" s="108">
        <v>0.76300000000000001</v>
      </c>
      <c r="JH11" s="108">
        <v>0.76</v>
      </c>
      <c r="JI11" s="108">
        <v>0.76100000000000001</v>
      </c>
      <c r="JJ11" s="108">
        <v>0.74199999999999999</v>
      </c>
      <c r="JK11" s="108">
        <v>0.749</v>
      </c>
      <c r="JL11" s="108">
        <v>0.747</v>
      </c>
      <c r="JM11" s="108">
        <v>0.752</v>
      </c>
      <c r="JN11" s="108">
        <v>0.73299999999999998</v>
      </c>
      <c r="JO11" s="108">
        <v>0.73799999999999999</v>
      </c>
      <c r="JP11" s="108">
        <v>0.74</v>
      </c>
      <c r="JQ11" s="108">
        <v>0.73599999999999999</v>
      </c>
      <c r="JR11" s="108">
        <v>0.71699999999999997</v>
      </c>
      <c r="JS11" s="108">
        <v>0.72299999999999998</v>
      </c>
      <c r="JT11" s="108">
        <v>0.71699999999999997</v>
      </c>
      <c r="JU11" s="108">
        <v>0.71799999999999997</v>
      </c>
      <c r="JV11" s="108">
        <v>0.7</v>
      </c>
      <c r="JW11" s="108">
        <v>0.70399999999999996</v>
      </c>
      <c r="JX11" s="108">
        <v>0.70399999999999996</v>
      </c>
      <c r="JY11" s="108">
        <v>0.70499999999999996</v>
      </c>
      <c r="JZ11" s="108">
        <v>0.68600000000000005</v>
      </c>
      <c r="KA11" s="108">
        <v>0.69099999999999995</v>
      </c>
      <c r="KB11" s="108">
        <v>0.83099999999999996</v>
      </c>
      <c r="KC11" s="108">
        <v>0.83299999999999996</v>
      </c>
      <c r="KD11" s="108">
        <v>0.82699999999999996</v>
      </c>
      <c r="KE11" s="108">
        <v>0.82199999999999995</v>
      </c>
      <c r="KF11" s="108">
        <v>0.82299999999999995</v>
      </c>
      <c r="KG11" s="108">
        <v>0.82399999999999995</v>
      </c>
      <c r="KH11" s="108">
        <v>0.81200000000000006</v>
      </c>
      <c r="KI11" s="108">
        <v>0.81200000000000006</v>
      </c>
      <c r="KJ11" s="108">
        <v>0.81499999999999995</v>
      </c>
      <c r="KK11" s="108">
        <v>0.81799999999999995</v>
      </c>
      <c r="KL11" s="108">
        <v>0.80700000000000005</v>
      </c>
      <c r="KM11" s="108">
        <v>0.80600000000000005</v>
      </c>
      <c r="KN11" s="108">
        <v>0.80800000000000005</v>
      </c>
      <c r="KO11" s="108">
        <v>0.81</v>
      </c>
      <c r="KP11" s="108">
        <v>0.8</v>
      </c>
      <c r="KQ11" s="108">
        <v>0.79900000000000004</v>
      </c>
      <c r="KR11" s="108">
        <v>0.8</v>
      </c>
      <c r="KS11" s="108">
        <v>0.80300000000000005</v>
      </c>
      <c r="KT11" s="108">
        <v>0.79300000000000004</v>
      </c>
      <c r="KU11" s="108">
        <v>0.79200000000000004</v>
      </c>
      <c r="KV11" s="108">
        <v>0.78500000000000003</v>
      </c>
      <c r="KW11" s="108">
        <v>0.78800000000000003</v>
      </c>
      <c r="KX11" s="108">
        <v>0.77600000000000002</v>
      </c>
      <c r="KY11" s="108">
        <v>0.77500000000000002</v>
      </c>
      <c r="KZ11" s="108">
        <v>0.77400000000000002</v>
      </c>
      <c r="LA11" s="108">
        <v>0.77400000000000002</v>
      </c>
      <c r="LB11" s="108">
        <v>0.76200000000000001</v>
      </c>
      <c r="LC11" s="108">
        <v>0.76300000000000001</v>
      </c>
      <c r="LD11" s="108">
        <v>0.76100000000000001</v>
      </c>
      <c r="LE11" s="108">
        <v>0.76300000000000001</v>
      </c>
      <c r="LF11" s="108">
        <v>0.75</v>
      </c>
      <c r="LG11" s="108">
        <v>0.749</v>
      </c>
      <c r="LH11" s="108">
        <v>0.745</v>
      </c>
      <c r="LI11" s="108">
        <v>0.747</v>
      </c>
      <c r="LJ11" s="108">
        <v>0.73</v>
      </c>
      <c r="LK11" s="108">
        <v>0.73199999999999998</v>
      </c>
      <c r="LL11" s="108">
        <v>0.73299999999999998</v>
      </c>
      <c r="LM11" s="108">
        <v>0.73699999999999999</v>
      </c>
      <c r="LN11" s="108">
        <v>0.71699999999999997</v>
      </c>
      <c r="LO11" s="108">
        <v>0.71899999999999997</v>
      </c>
      <c r="BXV11" s="109">
        <v>1</v>
      </c>
      <c r="BXW11" s="108" t="s">
        <v>155</v>
      </c>
      <c r="BXX11" s="108" t="s">
        <v>154</v>
      </c>
      <c r="BYA11" s="103">
        <v>0</v>
      </c>
      <c r="BYX11" s="108">
        <v>2</v>
      </c>
      <c r="BYY11" s="108">
        <v>2</v>
      </c>
      <c r="BYZ11" s="108">
        <v>2</v>
      </c>
      <c r="CAM11" s="108">
        <v>1</v>
      </c>
      <c r="CAN11" s="108">
        <v>2</v>
      </c>
      <c r="CAO11" s="108">
        <v>0.09</v>
      </c>
      <c r="CAP11" s="108">
        <v>0.01</v>
      </c>
      <c r="CAQ11" s="108">
        <v>8.8999999999999996E-2</v>
      </c>
      <c r="CAR11" s="108">
        <v>3</v>
      </c>
      <c r="CAS11" s="108">
        <v>4</v>
      </c>
      <c r="CAT11" s="108">
        <v>0.09</v>
      </c>
      <c r="CAU11" s="108">
        <v>0.01</v>
      </c>
      <c r="CAV11" s="108">
        <v>8.8999999999999996E-2</v>
      </c>
      <c r="XFA11" s="106"/>
      <c r="XFB11" s="106"/>
      <c r="XFC11" s="106">
        <v>8.3000000000000007</v>
      </c>
      <c r="XFD11" s="106"/>
    </row>
    <row r="12" spans="1:2216 16381:16384">
      <c r="A12" s="106" t="s">
        <v>440</v>
      </c>
      <c r="B12" s="106">
        <v>2</v>
      </c>
      <c r="C12" s="106">
        <v>1</v>
      </c>
      <c r="D12" s="106">
        <v>4</v>
      </c>
      <c r="E12" s="106">
        <v>3</v>
      </c>
      <c r="F12" s="106" t="s">
        <v>424</v>
      </c>
      <c r="GY12" s="95" t="s">
        <v>441</v>
      </c>
      <c r="GZ12" s="108">
        <v>0.315</v>
      </c>
      <c r="HA12" s="108">
        <v>0.27600000000000002</v>
      </c>
      <c r="HB12" s="108">
        <v>0.374</v>
      </c>
      <c r="HC12" s="108">
        <v>0.32600000000000001</v>
      </c>
      <c r="HD12" s="108">
        <v>0.43</v>
      </c>
      <c r="HE12" s="108">
        <v>0.39500000000000002</v>
      </c>
      <c r="HF12" s="108">
        <v>0.48299999999999998</v>
      </c>
      <c r="HG12" s="108">
        <v>0.44500000000000001</v>
      </c>
      <c r="HH12" s="108">
        <v>0.34200000000000003</v>
      </c>
      <c r="HI12" s="108">
        <v>0.30499999999999999</v>
      </c>
      <c r="HJ12" s="108">
        <v>0.39</v>
      </c>
      <c r="HK12" s="108">
        <v>0.34699999999999998</v>
      </c>
      <c r="HL12" s="108">
        <v>0.442</v>
      </c>
      <c r="HM12" s="108">
        <v>0.41</v>
      </c>
      <c r="HN12" s="108">
        <v>0.49299999999999999</v>
      </c>
      <c r="HO12" s="108">
        <v>0.45900000000000002</v>
      </c>
      <c r="HP12" s="108">
        <v>0.34599999999999997</v>
      </c>
      <c r="HQ12" s="108">
        <v>0.32</v>
      </c>
      <c r="HR12" s="108">
        <v>0.39300000000000002</v>
      </c>
      <c r="HS12" s="108">
        <v>0.35399999999999998</v>
      </c>
      <c r="HT12" s="108">
        <v>0.44</v>
      </c>
      <c r="HU12" s="108">
        <v>0.41399999999999998</v>
      </c>
      <c r="HV12" s="108">
        <v>0.49199999999999999</v>
      </c>
      <c r="HW12" s="108">
        <v>0.45800000000000002</v>
      </c>
      <c r="BXV12" s="109">
        <v>1</v>
      </c>
      <c r="BXW12" s="108" t="s">
        <v>155</v>
      </c>
      <c r="BXX12" s="108" t="s">
        <v>154</v>
      </c>
      <c r="BYA12" s="103">
        <v>0</v>
      </c>
      <c r="BYX12" s="108">
        <v>1</v>
      </c>
      <c r="BYY12" s="108">
        <v>2</v>
      </c>
      <c r="CAM12" s="108">
        <v>1</v>
      </c>
      <c r="CAN12" s="108">
        <v>2</v>
      </c>
      <c r="CAO12" s="108">
        <v>0.11</v>
      </c>
      <c r="CAP12" s="108">
        <v>0.01</v>
      </c>
      <c r="CAQ12" s="108">
        <v>8.8999999999999996E-2</v>
      </c>
      <c r="XFA12" s="106"/>
      <c r="XFB12" s="106"/>
      <c r="XFC12" s="106">
        <v>8.4</v>
      </c>
      <c r="XFD12" s="106"/>
    </row>
    <row r="13" spans="1:2216 16381:16384">
      <c r="A13" s="106" t="s">
        <v>442</v>
      </c>
      <c r="B13" s="106">
        <v>4</v>
      </c>
      <c r="C13" s="106">
        <v>1</v>
      </c>
      <c r="D13" s="106">
        <v>8</v>
      </c>
      <c r="E13" s="106">
        <v>1</v>
      </c>
      <c r="F13" s="106" t="s">
        <v>424</v>
      </c>
      <c r="GY13" s="95" t="s">
        <v>443</v>
      </c>
      <c r="GZ13" s="108">
        <v>0.55800000000000005</v>
      </c>
      <c r="HA13" s="108">
        <v>0.54900000000000004</v>
      </c>
      <c r="HB13" s="108">
        <v>0.58099999999999996</v>
      </c>
      <c r="HC13" s="108">
        <v>0.57799999999999996</v>
      </c>
      <c r="HD13" s="108">
        <v>0.60799999999999998</v>
      </c>
      <c r="HE13" s="108">
        <v>0.60699999999999998</v>
      </c>
      <c r="HF13" s="108">
        <v>0.60099999999999998</v>
      </c>
      <c r="HG13" s="108">
        <v>0.60799999999999998</v>
      </c>
      <c r="HH13" s="108">
        <v>0.628</v>
      </c>
      <c r="HI13" s="108">
        <v>0.61699999999999999</v>
      </c>
      <c r="HJ13" s="108">
        <v>0.64400000000000002</v>
      </c>
      <c r="HK13" s="108">
        <v>0.64800000000000002</v>
      </c>
      <c r="HL13" s="108">
        <v>0.66700000000000004</v>
      </c>
      <c r="HM13" s="108">
        <v>0.65700000000000003</v>
      </c>
      <c r="HN13" s="108">
        <v>0.69799999999999995</v>
      </c>
      <c r="HO13" s="108">
        <v>0.70299999999999996</v>
      </c>
      <c r="HP13" s="108">
        <v>0.68700000000000006</v>
      </c>
      <c r="HQ13" s="108">
        <v>0.69</v>
      </c>
      <c r="HR13" s="108">
        <v>0.72899999999999998</v>
      </c>
      <c r="HS13" s="108">
        <v>0.73199999999999998</v>
      </c>
      <c r="HT13" s="108">
        <v>0.73599999999999999</v>
      </c>
      <c r="HU13" s="108">
        <v>0.72099999999999997</v>
      </c>
      <c r="HV13" s="108">
        <v>0.75800000000000001</v>
      </c>
      <c r="HW13" s="108">
        <v>0.77</v>
      </c>
      <c r="HX13" s="108">
        <v>0.78900000000000003</v>
      </c>
      <c r="HY13" s="108">
        <v>0.78200000000000003</v>
      </c>
      <c r="HZ13" s="108">
        <v>0.79900000000000004</v>
      </c>
      <c r="IA13" s="108">
        <v>0.80500000000000005</v>
      </c>
      <c r="IB13" s="108">
        <v>0.84599999999999997</v>
      </c>
      <c r="IC13" s="108">
        <v>0.84</v>
      </c>
      <c r="ID13" s="108">
        <v>0.84699999999999998</v>
      </c>
      <c r="IE13" s="108">
        <v>0.85199999999999998</v>
      </c>
      <c r="BXV13" s="109">
        <v>1</v>
      </c>
      <c r="BXW13" s="108" t="s">
        <v>155</v>
      </c>
      <c r="BXX13" s="108" t="s">
        <v>154</v>
      </c>
      <c r="BYA13" s="103">
        <v>0</v>
      </c>
      <c r="BYX13" s="108">
        <v>2</v>
      </c>
      <c r="BYY13" s="108">
        <v>2</v>
      </c>
      <c r="BYZ13" s="108">
        <v>2</v>
      </c>
      <c r="CAM13" s="108">
        <v>1</v>
      </c>
      <c r="CAN13" s="108">
        <v>2</v>
      </c>
      <c r="CAO13" s="108">
        <v>0.1</v>
      </c>
      <c r="CAP13" s="108">
        <v>0.01</v>
      </c>
      <c r="CAQ13" s="108">
        <v>8.8999999999999996E-2</v>
      </c>
      <c r="CAR13" s="108">
        <v>3</v>
      </c>
      <c r="CAS13" s="108">
        <v>4</v>
      </c>
      <c r="CAT13" s="108">
        <v>0.1</v>
      </c>
      <c r="CAU13" s="108">
        <v>0.01</v>
      </c>
      <c r="CAV13" s="108">
        <v>8.8999999999999996E-2</v>
      </c>
      <c r="XFB13" s="106"/>
      <c r="XFC13" s="106">
        <v>9</v>
      </c>
      <c r="XFD13" s="106"/>
    </row>
    <row r="14" spans="1:2216 16381:16384">
      <c r="A14" s="106" t="s">
        <v>444</v>
      </c>
      <c r="B14" s="106">
        <v>4</v>
      </c>
      <c r="C14" s="106">
        <v>1</v>
      </c>
      <c r="D14" s="106">
        <v>2</v>
      </c>
      <c r="E14" s="106">
        <v>9</v>
      </c>
      <c r="F14" s="106" t="s">
        <v>424</v>
      </c>
      <c r="GY14" s="95" t="s">
        <v>445</v>
      </c>
      <c r="GZ14" s="108">
        <v>0.30399999999999999</v>
      </c>
      <c r="HA14" s="108">
        <v>0.318</v>
      </c>
      <c r="HB14" s="108">
        <v>0.26900000000000002</v>
      </c>
      <c r="HC14" s="108">
        <v>0.27500000000000002</v>
      </c>
      <c r="HD14" s="108">
        <v>0.312</v>
      </c>
      <c r="HE14" s="108">
        <v>0.32300000000000001</v>
      </c>
      <c r="HF14" s="108">
        <v>0.27300000000000002</v>
      </c>
      <c r="HG14" s="108">
        <v>0.27700000000000002</v>
      </c>
      <c r="HH14" s="108">
        <v>0.312</v>
      </c>
      <c r="HI14" s="108">
        <v>0.32300000000000001</v>
      </c>
      <c r="HJ14" s="108">
        <v>0.27100000000000002</v>
      </c>
      <c r="HK14" s="108">
        <v>0.27700000000000002</v>
      </c>
      <c r="HL14" s="108">
        <v>0.313</v>
      </c>
      <c r="HM14" s="108">
        <v>0.32400000000000001</v>
      </c>
      <c r="HN14" s="108">
        <v>0.27300000000000002</v>
      </c>
      <c r="HO14" s="108">
        <v>0.27700000000000002</v>
      </c>
      <c r="HP14" s="108">
        <v>0.315</v>
      </c>
      <c r="HQ14" s="108">
        <v>0.32700000000000001</v>
      </c>
      <c r="HR14" s="108">
        <v>0.27200000000000002</v>
      </c>
      <c r="HS14" s="108">
        <v>0.27800000000000002</v>
      </c>
      <c r="HT14" s="108">
        <v>0.313</v>
      </c>
      <c r="HU14" s="108">
        <v>0.32500000000000001</v>
      </c>
      <c r="HV14" s="108">
        <v>0.26800000000000002</v>
      </c>
      <c r="HW14" s="108">
        <v>0.27400000000000002</v>
      </c>
      <c r="HX14" s="108">
        <v>0.309</v>
      </c>
      <c r="HY14" s="108">
        <v>0.32200000000000001</v>
      </c>
      <c r="HZ14" s="108">
        <v>0.26700000000000002</v>
      </c>
      <c r="IA14" s="108">
        <v>0.27200000000000002</v>
      </c>
      <c r="IB14" s="108">
        <v>0.30499999999999999</v>
      </c>
      <c r="IC14" s="108">
        <v>0.32500000000000001</v>
      </c>
      <c r="ID14" s="108">
        <v>0.26300000000000001</v>
      </c>
      <c r="IE14" s="108">
        <v>0.27200000000000002</v>
      </c>
      <c r="IF14" s="108">
        <v>0.30299999999999999</v>
      </c>
      <c r="IG14" s="108">
        <v>0.317</v>
      </c>
      <c r="IH14" s="108">
        <v>0.26</v>
      </c>
      <c r="II14" s="108">
        <v>0.26700000000000002</v>
      </c>
      <c r="IJ14" s="108">
        <v>0.39100000000000001</v>
      </c>
      <c r="IK14" s="108">
        <v>0.40600000000000003</v>
      </c>
      <c r="IL14" s="108">
        <v>0.33600000000000002</v>
      </c>
      <c r="IM14" s="108">
        <v>0.35399999999999998</v>
      </c>
      <c r="IN14" s="108">
        <v>0.39300000000000002</v>
      </c>
      <c r="IO14" s="108">
        <v>0.41099999999999998</v>
      </c>
      <c r="IP14" s="108">
        <v>0.34</v>
      </c>
      <c r="IQ14" s="108">
        <v>0.35499999999999998</v>
      </c>
      <c r="IR14" s="108">
        <v>0.39400000000000002</v>
      </c>
      <c r="IS14" s="108">
        <v>0.41299999999999998</v>
      </c>
      <c r="IT14" s="108">
        <v>0.34300000000000003</v>
      </c>
      <c r="IU14" s="108">
        <v>0.35599999999999998</v>
      </c>
      <c r="IV14" s="108">
        <v>0.39900000000000002</v>
      </c>
      <c r="IW14" s="108">
        <v>0.41099999999999998</v>
      </c>
      <c r="IX14" s="108">
        <v>0.34399999999999997</v>
      </c>
      <c r="IY14" s="108">
        <v>0.35799999999999998</v>
      </c>
      <c r="IZ14" s="108">
        <v>0.39700000000000002</v>
      </c>
      <c r="JA14" s="108">
        <v>0.40899999999999997</v>
      </c>
      <c r="JB14" s="108">
        <v>0.34200000000000003</v>
      </c>
      <c r="JC14" s="108">
        <v>0.35699999999999998</v>
      </c>
      <c r="JD14" s="108">
        <v>0.39400000000000002</v>
      </c>
      <c r="JE14" s="108">
        <v>0.40899999999999997</v>
      </c>
      <c r="JF14" s="108">
        <v>0.34</v>
      </c>
      <c r="JG14" s="108">
        <v>0.35399999999999998</v>
      </c>
      <c r="JH14" s="108">
        <v>0.39200000000000002</v>
      </c>
      <c r="JI14" s="108">
        <v>0.40600000000000003</v>
      </c>
      <c r="JJ14" s="108">
        <v>0.33900000000000002</v>
      </c>
      <c r="JK14" s="108">
        <v>0.35399999999999998</v>
      </c>
      <c r="JL14" s="108">
        <v>0.38600000000000001</v>
      </c>
      <c r="JM14" s="108">
        <v>0.40200000000000002</v>
      </c>
      <c r="JN14" s="108">
        <v>0.33500000000000002</v>
      </c>
      <c r="JO14" s="108">
        <v>0.35</v>
      </c>
      <c r="JP14" s="108">
        <v>0.38500000000000001</v>
      </c>
      <c r="JQ14" s="108">
        <v>0.4</v>
      </c>
      <c r="JR14" s="108">
        <v>0.33300000000000002</v>
      </c>
      <c r="JS14" s="108">
        <v>0.34699999999999998</v>
      </c>
      <c r="BXV14" s="109">
        <v>1</v>
      </c>
      <c r="BXW14" s="108" t="s">
        <v>155</v>
      </c>
      <c r="BXX14" s="108" t="s">
        <v>154</v>
      </c>
      <c r="BYA14" s="103">
        <v>0</v>
      </c>
      <c r="BYX14" s="108">
        <v>2</v>
      </c>
      <c r="BYY14" s="108">
        <v>2</v>
      </c>
      <c r="BYZ14" s="108">
        <v>2</v>
      </c>
      <c r="CAM14" s="108">
        <v>1</v>
      </c>
      <c r="CAN14" s="108">
        <v>2</v>
      </c>
      <c r="CAO14" s="108">
        <v>0.105</v>
      </c>
      <c r="CAP14" s="108">
        <v>0.01</v>
      </c>
      <c r="CAQ14" s="108">
        <v>0.09</v>
      </c>
      <c r="CAR14" s="108">
        <v>3</v>
      </c>
      <c r="CAS14" s="108">
        <v>4</v>
      </c>
      <c r="CAT14" s="108">
        <v>0.105</v>
      </c>
      <c r="CAU14" s="108">
        <v>0.01</v>
      </c>
      <c r="CAV14" s="108">
        <v>0.09</v>
      </c>
      <c r="XFC14" s="106">
        <v>10</v>
      </c>
      <c r="XFD14" s="106"/>
    </row>
    <row r="15" spans="1:2216 16381:16384">
      <c r="A15" s="106" t="s">
        <v>446</v>
      </c>
      <c r="B15" s="106">
        <v>4</v>
      </c>
      <c r="C15" s="106">
        <v>1</v>
      </c>
      <c r="D15" s="106">
        <v>2</v>
      </c>
      <c r="E15" s="106">
        <v>10</v>
      </c>
      <c r="F15" s="106" t="s">
        <v>447</v>
      </c>
      <c r="GY15" s="95" t="s">
        <v>448</v>
      </c>
      <c r="GZ15" s="108">
        <v>0.42599999999999999</v>
      </c>
      <c r="HA15" s="108">
        <v>0.41699999999999998</v>
      </c>
      <c r="HB15" s="108">
        <v>0.39500000000000002</v>
      </c>
      <c r="HC15" s="108">
        <v>0.38100000000000001</v>
      </c>
      <c r="HD15" s="108">
        <v>0.42499999999999999</v>
      </c>
      <c r="HE15" s="108">
        <v>0.41699999999999998</v>
      </c>
      <c r="HF15" s="108">
        <v>0.39300000000000002</v>
      </c>
      <c r="HG15" s="108">
        <v>0.379</v>
      </c>
      <c r="HH15" s="108">
        <v>0.42699999999999999</v>
      </c>
      <c r="HI15" s="108">
        <v>0.41699999999999998</v>
      </c>
      <c r="HJ15" s="108">
        <v>0.39400000000000002</v>
      </c>
      <c r="HK15" s="108">
        <v>0.379</v>
      </c>
      <c r="HL15" s="108">
        <v>0.42299999999999999</v>
      </c>
      <c r="HM15" s="108">
        <v>0.41399999999999998</v>
      </c>
      <c r="HN15" s="108">
        <v>0.39</v>
      </c>
      <c r="HO15" s="108">
        <v>0.375</v>
      </c>
      <c r="HP15" s="108">
        <v>0.42399999999999999</v>
      </c>
      <c r="HQ15" s="108">
        <v>0.41399999999999998</v>
      </c>
      <c r="HR15" s="108">
        <v>0.39</v>
      </c>
      <c r="HS15" s="108">
        <v>0.375</v>
      </c>
      <c r="HT15" s="108">
        <v>0.42199999999999999</v>
      </c>
      <c r="HU15" s="108">
        <v>0.41199999999999998</v>
      </c>
      <c r="HV15" s="108">
        <v>0.38800000000000001</v>
      </c>
      <c r="HW15" s="108">
        <v>0.372</v>
      </c>
      <c r="HX15" s="108">
        <v>0.42099999999999999</v>
      </c>
      <c r="HY15" s="108">
        <v>0.41</v>
      </c>
      <c r="HZ15" s="108">
        <v>0.38500000000000001</v>
      </c>
      <c r="IA15" s="108">
        <v>0.37</v>
      </c>
      <c r="IB15" s="108">
        <v>0.41899999999999998</v>
      </c>
      <c r="IC15" s="108">
        <v>0.40799999999999997</v>
      </c>
      <c r="ID15" s="108">
        <v>0.38300000000000001</v>
      </c>
      <c r="IE15" s="108">
        <v>0.36699999999999999</v>
      </c>
      <c r="IF15" s="108">
        <v>0.41699999999999998</v>
      </c>
      <c r="IG15" s="108">
        <v>0.40500000000000003</v>
      </c>
      <c r="IH15" s="108">
        <v>0.38</v>
      </c>
      <c r="II15" s="108">
        <v>0.36299999999999999</v>
      </c>
      <c r="IJ15" s="108">
        <v>0.41399999999999998</v>
      </c>
      <c r="IK15" s="108">
        <v>0.40300000000000002</v>
      </c>
      <c r="IL15" s="108">
        <v>0.377</v>
      </c>
      <c r="IM15" s="108">
        <v>0.36199999999999999</v>
      </c>
      <c r="IN15" s="108">
        <v>0.33700000000000002</v>
      </c>
      <c r="IO15" s="108">
        <v>0.32400000000000001</v>
      </c>
      <c r="IP15" s="108">
        <v>0.30099999999999999</v>
      </c>
      <c r="IQ15" s="108">
        <v>0.29799999999999999</v>
      </c>
      <c r="IR15" s="108">
        <v>0.33400000000000002</v>
      </c>
      <c r="IS15" s="108">
        <v>0.32200000000000001</v>
      </c>
      <c r="IT15" s="108">
        <v>0.30099999999999999</v>
      </c>
      <c r="IU15" s="108">
        <v>0.29399999999999998</v>
      </c>
      <c r="IV15" s="108">
        <v>0.33200000000000002</v>
      </c>
      <c r="IW15" s="108">
        <v>0.32</v>
      </c>
      <c r="IX15" s="108">
        <v>0.29899999999999999</v>
      </c>
      <c r="IY15" s="108">
        <v>0.29199999999999998</v>
      </c>
      <c r="IZ15" s="108">
        <v>0.32900000000000001</v>
      </c>
      <c r="JA15" s="108">
        <v>0.317</v>
      </c>
      <c r="JB15" s="108">
        <v>0.29599999999999999</v>
      </c>
      <c r="JC15" s="108">
        <v>0.28799999999999998</v>
      </c>
      <c r="JD15" s="108">
        <v>0.32800000000000001</v>
      </c>
      <c r="JE15" s="108">
        <v>0.315</v>
      </c>
      <c r="JF15" s="108">
        <v>0.29599999999999999</v>
      </c>
      <c r="JG15" s="108">
        <v>0.28699999999999998</v>
      </c>
      <c r="JH15" s="108">
        <v>0.32300000000000001</v>
      </c>
      <c r="JI15" s="108">
        <v>0.314</v>
      </c>
      <c r="JJ15" s="108">
        <v>0.29199999999999998</v>
      </c>
      <c r="JK15" s="108">
        <v>0.28399999999999997</v>
      </c>
      <c r="JL15" s="108">
        <v>0.32600000000000001</v>
      </c>
      <c r="JM15" s="108">
        <v>0.311</v>
      </c>
      <c r="JN15" s="108">
        <v>0.29399999999999998</v>
      </c>
      <c r="JO15" s="108">
        <v>0.28199999999999997</v>
      </c>
      <c r="JP15" s="108">
        <v>0.316</v>
      </c>
      <c r="JQ15" s="108">
        <v>0.30299999999999999</v>
      </c>
      <c r="JR15" s="108">
        <v>0.29599999999999999</v>
      </c>
      <c r="JS15" s="108">
        <v>0.27600000000000002</v>
      </c>
      <c r="JT15" s="108">
        <v>0.317</v>
      </c>
      <c r="JU15" s="108">
        <v>0.30399999999999999</v>
      </c>
      <c r="JV15" s="108">
        <v>0.28499999999999998</v>
      </c>
      <c r="JW15" s="108">
        <v>0.27400000000000002</v>
      </c>
      <c r="JX15" s="108">
        <v>0.312</v>
      </c>
      <c r="JY15" s="108">
        <v>0.29799999999999999</v>
      </c>
      <c r="JZ15" s="108">
        <v>0.28000000000000003</v>
      </c>
      <c r="KA15" s="108">
        <v>0.26900000000000002</v>
      </c>
      <c r="BXV15" s="109">
        <v>1</v>
      </c>
      <c r="BXW15" s="108" t="s">
        <v>155</v>
      </c>
      <c r="BXX15" s="108" t="s">
        <v>154</v>
      </c>
      <c r="BYA15" s="103">
        <v>0</v>
      </c>
      <c r="BYX15" s="108">
        <v>3</v>
      </c>
      <c r="BYY15" s="108">
        <v>1</v>
      </c>
      <c r="BYZ15" s="108">
        <v>1</v>
      </c>
      <c r="BZA15" s="108">
        <v>2</v>
      </c>
      <c r="CAM15" s="108">
        <v>1</v>
      </c>
      <c r="CAN15" s="108">
        <v>1</v>
      </c>
      <c r="CAO15" s="108">
        <v>0</v>
      </c>
      <c r="CAP15" s="108">
        <v>0.01</v>
      </c>
      <c r="CAQ15" s="108">
        <v>0.17899999999999999</v>
      </c>
      <c r="CAR15" s="108">
        <v>2</v>
      </c>
      <c r="CAS15" s="108">
        <v>2</v>
      </c>
      <c r="CAT15" s="108">
        <v>0</v>
      </c>
      <c r="CAU15" s="108">
        <v>0.13</v>
      </c>
      <c r="CAV15" s="108">
        <v>0.26900000000000002</v>
      </c>
      <c r="CAW15" s="108">
        <v>3</v>
      </c>
      <c r="CAX15" s="108">
        <v>4</v>
      </c>
      <c r="CAY15" s="108">
        <v>0</v>
      </c>
      <c r="CAZ15" s="108">
        <v>0.01</v>
      </c>
      <c r="CBA15" s="108">
        <v>0.17899999999999999</v>
      </c>
    </row>
    <row r="16" spans="1:2216 16381:16384">
      <c r="A16" s="106" t="s">
        <v>391</v>
      </c>
      <c r="B16" s="106">
        <v>20</v>
      </c>
      <c r="C16" s="106">
        <v>1</v>
      </c>
      <c r="D16" s="106">
        <v>3</v>
      </c>
      <c r="E16" s="106">
        <v>10</v>
      </c>
      <c r="F16" s="106" t="s">
        <v>447</v>
      </c>
      <c r="GY16" s="95"/>
      <c r="BXV16" s="109">
        <v>1</v>
      </c>
      <c r="BYA16" s="103">
        <v>0</v>
      </c>
      <c r="BYX16" s="108">
        <v>2</v>
      </c>
      <c r="BYY16" s="108">
        <v>10</v>
      </c>
      <c r="BYZ16" s="108">
        <v>10</v>
      </c>
      <c r="CAM16" s="108">
        <v>1</v>
      </c>
      <c r="CAN16" s="108">
        <v>10</v>
      </c>
      <c r="CAO16" s="108">
        <v>0.09</v>
      </c>
      <c r="CAP16" s="108">
        <v>0</v>
      </c>
      <c r="CAQ16" s="108">
        <v>0.09</v>
      </c>
      <c r="CAR16" s="108">
        <v>11</v>
      </c>
      <c r="CAS16" s="108">
        <v>20</v>
      </c>
      <c r="CAT16" s="108">
        <v>0.105</v>
      </c>
      <c r="CAU16" s="108">
        <v>0</v>
      </c>
      <c r="CAV16" s="108">
        <v>0.09</v>
      </c>
    </row>
    <row r="17" spans="1:543 1998:2030 2067:2086">
      <c r="A17" s="106" t="s">
        <v>449</v>
      </c>
      <c r="B17" s="106">
        <v>4</v>
      </c>
      <c r="C17" s="106">
        <v>1</v>
      </c>
      <c r="D17" s="106">
        <v>6</v>
      </c>
      <c r="E17" s="106">
        <v>4</v>
      </c>
      <c r="F17" s="106" t="s">
        <v>447</v>
      </c>
      <c r="GY17" s="95" t="s">
        <v>405</v>
      </c>
      <c r="GZ17" s="108">
        <v>0.22700000000000001</v>
      </c>
      <c r="HA17" s="108">
        <v>0.22700000000000001</v>
      </c>
      <c r="HB17" s="108">
        <v>0.23100000000000001</v>
      </c>
      <c r="HC17" s="108">
        <v>0.23100000000000001</v>
      </c>
      <c r="HD17" s="108">
        <v>0.23499999999999999</v>
      </c>
      <c r="HE17" s="108">
        <v>0.23400000000000001</v>
      </c>
      <c r="HF17" s="108">
        <v>0.23400000000000001</v>
      </c>
      <c r="HG17" s="108">
        <v>0.23300000000000001</v>
      </c>
      <c r="HH17" s="108">
        <v>0.23200000000000001</v>
      </c>
      <c r="HI17" s="108">
        <v>0.22700000000000001</v>
      </c>
      <c r="HJ17" s="108">
        <v>0.23200000000000001</v>
      </c>
      <c r="HK17" s="108">
        <v>0.23100000000000001</v>
      </c>
      <c r="HL17" s="108">
        <v>0.23</v>
      </c>
      <c r="HM17" s="108">
        <v>0.23200000000000001</v>
      </c>
      <c r="HN17" s="108">
        <v>0.23200000000000001</v>
      </c>
      <c r="HO17" s="108">
        <v>0.23</v>
      </c>
      <c r="HP17" s="108">
        <v>0.23699999999999999</v>
      </c>
      <c r="HQ17" s="108">
        <v>0.23499999999999999</v>
      </c>
      <c r="HR17" s="108">
        <v>0.23799999999999999</v>
      </c>
      <c r="HS17" s="108">
        <v>0.23599999999999999</v>
      </c>
      <c r="HT17" s="108">
        <v>0.24199999999999999</v>
      </c>
      <c r="HU17" s="108">
        <v>0.24199999999999999</v>
      </c>
      <c r="HV17" s="108">
        <v>0.24099999999999999</v>
      </c>
      <c r="HW17" s="108">
        <v>0.24</v>
      </c>
      <c r="HX17" s="108">
        <v>0.24099999999999999</v>
      </c>
      <c r="HY17" s="108">
        <v>0.23799999999999999</v>
      </c>
      <c r="HZ17" s="108">
        <v>0.24099999999999999</v>
      </c>
      <c r="IA17" s="108">
        <v>0.23899999999999999</v>
      </c>
      <c r="IB17" s="108">
        <v>0.23899999999999999</v>
      </c>
      <c r="IC17" s="108">
        <v>0.24</v>
      </c>
      <c r="ID17" s="108">
        <v>0.23899999999999999</v>
      </c>
      <c r="IE17" s="108">
        <v>0.23799999999999999</v>
      </c>
      <c r="IF17" s="108">
        <v>0.24299999999999999</v>
      </c>
      <c r="IG17" s="108">
        <v>0.24399999999999999</v>
      </c>
      <c r="IH17" s="108">
        <v>0.245</v>
      </c>
      <c r="II17" s="108">
        <v>0.245</v>
      </c>
      <c r="IJ17" s="108">
        <v>0.248</v>
      </c>
      <c r="IK17" s="108">
        <v>0.25</v>
      </c>
      <c r="IL17" s="108">
        <v>0.248</v>
      </c>
      <c r="IM17" s="108">
        <v>0.246</v>
      </c>
      <c r="IN17" s="108">
        <v>0.246</v>
      </c>
      <c r="IO17" s="108">
        <v>0.245</v>
      </c>
      <c r="IP17" s="108">
        <v>0.245</v>
      </c>
      <c r="IQ17" s="108">
        <v>0.24399999999999999</v>
      </c>
      <c r="IR17" s="108">
        <v>0.245</v>
      </c>
      <c r="IS17" s="108">
        <v>0.246</v>
      </c>
      <c r="IT17" s="108">
        <v>0.245</v>
      </c>
      <c r="IU17" s="108">
        <v>0.24099999999999999</v>
      </c>
      <c r="IV17" s="108">
        <v>0.251</v>
      </c>
      <c r="IW17" s="108">
        <v>0.253</v>
      </c>
      <c r="IX17" s="108">
        <v>0.254</v>
      </c>
      <c r="IY17" s="108">
        <v>0.253</v>
      </c>
      <c r="IZ17" s="108">
        <v>0.25600000000000001</v>
      </c>
      <c r="JA17" s="108">
        <v>0.255</v>
      </c>
      <c r="JB17" s="108">
        <v>0.254</v>
      </c>
      <c r="JC17" s="108">
        <v>0.254</v>
      </c>
      <c r="JD17" s="108">
        <v>0.252</v>
      </c>
      <c r="JE17" s="108">
        <v>0.25</v>
      </c>
      <c r="JF17" s="108">
        <v>0.253</v>
      </c>
      <c r="JG17" s="108">
        <v>0.251</v>
      </c>
      <c r="JH17" s="108">
        <v>0.252</v>
      </c>
      <c r="JI17" s="108">
        <v>0.25</v>
      </c>
      <c r="JJ17" s="108">
        <v>0.25</v>
      </c>
      <c r="JK17" s="108">
        <v>0.249</v>
      </c>
      <c r="JL17" s="108">
        <v>0.255</v>
      </c>
      <c r="JM17" s="108">
        <v>0.255</v>
      </c>
      <c r="JN17" s="108">
        <v>0.255</v>
      </c>
      <c r="JO17" s="108">
        <v>0.25700000000000001</v>
      </c>
      <c r="JP17" s="108">
        <v>0.25600000000000001</v>
      </c>
      <c r="JQ17" s="108">
        <v>0.25600000000000001</v>
      </c>
      <c r="JR17" s="108">
        <v>0.25800000000000001</v>
      </c>
      <c r="JS17" s="108">
        <v>0.255</v>
      </c>
      <c r="JT17" s="108">
        <v>0.251</v>
      </c>
      <c r="JU17" s="108">
        <v>0.253</v>
      </c>
      <c r="JV17" s="108">
        <v>0.251</v>
      </c>
      <c r="JW17" s="108">
        <v>0.25</v>
      </c>
      <c r="JX17" s="108">
        <v>0.251</v>
      </c>
      <c r="JY17" s="108">
        <v>0.248</v>
      </c>
      <c r="JZ17" s="108">
        <v>0.25</v>
      </c>
      <c r="KA17" s="108">
        <v>0.249</v>
      </c>
      <c r="KB17" s="108">
        <v>0.25700000000000001</v>
      </c>
      <c r="KC17" s="108">
        <v>0.25600000000000001</v>
      </c>
      <c r="KD17" s="108">
        <v>0.26100000000000001</v>
      </c>
      <c r="KE17" s="108">
        <v>0.25900000000000001</v>
      </c>
      <c r="KF17" s="108">
        <v>0.25800000000000001</v>
      </c>
      <c r="KG17" s="108">
        <v>0.25600000000000001</v>
      </c>
      <c r="KH17" s="108">
        <v>0.25800000000000001</v>
      </c>
      <c r="KI17" s="108">
        <v>0.25900000000000001</v>
      </c>
      <c r="KJ17" s="108">
        <v>0.254</v>
      </c>
      <c r="KK17" s="108">
        <v>0.253</v>
      </c>
      <c r="KL17" s="108">
        <v>0.254</v>
      </c>
      <c r="KM17" s="108">
        <v>0.253</v>
      </c>
      <c r="KN17" s="108">
        <v>0.252</v>
      </c>
      <c r="KO17" s="108">
        <v>0.247</v>
      </c>
      <c r="KP17" s="108">
        <v>0.248</v>
      </c>
      <c r="KQ17" s="108">
        <v>0.249</v>
      </c>
      <c r="BXV17" s="109">
        <v>1</v>
      </c>
      <c r="BXW17" s="108" t="s">
        <v>155</v>
      </c>
      <c r="BXX17" s="108" t="s">
        <v>154</v>
      </c>
      <c r="BYA17" s="103">
        <v>0</v>
      </c>
      <c r="BYX17" s="108">
        <v>1</v>
      </c>
      <c r="BYY17" s="108">
        <v>4</v>
      </c>
      <c r="CAM17" s="108">
        <v>1</v>
      </c>
      <c r="CAN17" s="108">
        <v>4</v>
      </c>
      <c r="CAO17" s="108">
        <v>0</v>
      </c>
      <c r="CAP17" s="108">
        <v>0</v>
      </c>
      <c r="CAQ17" s="108">
        <v>0.23</v>
      </c>
    </row>
    <row r="18" spans="1:543 1998:2030 2067:2086">
      <c r="A18" s="106" t="s">
        <v>450</v>
      </c>
      <c r="B18" s="106">
        <v>8</v>
      </c>
      <c r="C18" s="106">
        <v>1</v>
      </c>
      <c r="D18" s="106">
        <v>2</v>
      </c>
      <c r="E18" s="106">
        <v>5</v>
      </c>
      <c r="F18" s="106" t="s">
        <v>447</v>
      </c>
      <c r="GY18" s="95" t="s">
        <v>406</v>
      </c>
      <c r="GZ18" s="108">
        <v>0.16</v>
      </c>
      <c r="HA18" s="108">
        <v>0.16200000000000001</v>
      </c>
      <c r="HB18" s="108">
        <v>0.161</v>
      </c>
      <c r="HC18" s="108">
        <v>0.161</v>
      </c>
      <c r="HD18" s="108">
        <v>0.16200000000000001</v>
      </c>
      <c r="HE18" s="108">
        <v>0.159</v>
      </c>
      <c r="HF18" s="108">
        <v>0.161</v>
      </c>
      <c r="HG18" s="108">
        <v>0.16300000000000001</v>
      </c>
      <c r="HH18" s="108">
        <v>0.158</v>
      </c>
      <c r="HI18" s="108">
        <v>0.158</v>
      </c>
      <c r="HJ18" s="108">
        <v>0.155</v>
      </c>
      <c r="HK18" s="108">
        <v>0.157</v>
      </c>
      <c r="HL18" s="108">
        <v>0.16400000000000001</v>
      </c>
      <c r="HM18" s="108">
        <v>0.16400000000000001</v>
      </c>
      <c r="HN18" s="108">
        <v>0.16500000000000001</v>
      </c>
      <c r="HO18" s="108">
        <v>0.16400000000000001</v>
      </c>
      <c r="HP18" s="108">
        <v>0.16900000000000001</v>
      </c>
      <c r="HQ18" s="108">
        <v>0.17</v>
      </c>
      <c r="HR18" s="108">
        <v>0.17</v>
      </c>
      <c r="HS18" s="108">
        <v>0.17100000000000001</v>
      </c>
      <c r="HT18" s="108">
        <v>0.16900000000000001</v>
      </c>
      <c r="HU18" s="108">
        <v>0.17199999999999999</v>
      </c>
      <c r="HV18" s="108">
        <v>0.17100000000000001</v>
      </c>
      <c r="HW18" s="108">
        <v>0.16800000000000001</v>
      </c>
      <c r="HX18" s="108">
        <v>0.16300000000000001</v>
      </c>
      <c r="HY18" s="108">
        <v>0.16400000000000001</v>
      </c>
      <c r="HZ18" s="108">
        <v>0.16400000000000001</v>
      </c>
      <c r="IA18" s="108">
        <v>0.16500000000000001</v>
      </c>
      <c r="IB18" s="108">
        <v>0.16900000000000001</v>
      </c>
      <c r="IC18" s="108">
        <v>0.17199999999999999</v>
      </c>
      <c r="ID18" s="108">
        <v>0.17199999999999999</v>
      </c>
      <c r="IE18" s="108">
        <v>0.17199999999999999</v>
      </c>
      <c r="IF18" s="108">
        <v>0.17699999999999999</v>
      </c>
      <c r="IG18" s="108">
        <v>0.17499999999999999</v>
      </c>
      <c r="IH18" s="108">
        <v>0.17799999999999999</v>
      </c>
      <c r="II18" s="108">
        <v>0.17499999999999999</v>
      </c>
      <c r="IJ18" s="108">
        <v>0.17100000000000001</v>
      </c>
      <c r="IK18" s="108">
        <v>0.17399999999999999</v>
      </c>
      <c r="IL18" s="108">
        <v>0.17399999999999999</v>
      </c>
      <c r="IM18" s="108">
        <v>0.17399999999999999</v>
      </c>
      <c r="IN18" s="108">
        <v>0.17100000000000001</v>
      </c>
      <c r="IO18" s="108">
        <v>0.17100000000000001</v>
      </c>
      <c r="IP18" s="108">
        <v>0.17399999999999999</v>
      </c>
      <c r="IQ18" s="108">
        <v>0.17</v>
      </c>
      <c r="IR18" s="108">
        <v>0.17499999999999999</v>
      </c>
      <c r="IS18" s="108">
        <v>0.17699999999999999</v>
      </c>
      <c r="IT18" s="108">
        <v>0.17799999999999999</v>
      </c>
      <c r="IU18" s="108">
        <v>0.17699999999999999</v>
      </c>
      <c r="IV18" s="108">
        <v>0.18</v>
      </c>
      <c r="IW18" s="108">
        <v>0.17799999999999999</v>
      </c>
      <c r="IX18" s="108">
        <v>0.18</v>
      </c>
      <c r="IY18" s="108">
        <v>0.183</v>
      </c>
      <c r="IZ18" s="108">
        <v>0.17799999999999999</v>
      </c>
      <c r="JA18" s="108">
        <v>0.17699999999999999</v>
      </c>
      <c r="JB18" s="108">
        <v>0.17899999999999999</v>
      </c>
      <c r="JC18" s="108">
        <v>0.18</v>
      </c>
      <c r="JD18" s="108">
        <v>0.182</v>
      </c>
      <c r="JE18" s="108">
        <v>0.18</v>
      </c>
      <c r="JF18" s="108">
        <v>0.18099999999999999</v>
      </c>
      <c r="JG18" s="108">
        <v>0.186</v>
      </c>
      <c r="JH18" s="108">
        <v>0.182</v>
      </c>
      <c r="JI18" s="108">
        <v>0.183</v>
      </c>
      <c r="JJ18" s="108">
        <v>0.186</v>
      </c>
      <c r="JK18" s="108">
        <v>0.187</v>
      </c>
      <c r="JL18" s="108">
        <v>0.183</v>
      </c>
      <c r="JM18" s="108">
        <v>0.182</v>
      </c>
      <c r="JN18" s="108">
        <v>0.183</v>
      </c>
      <c r="JO18" s="108">
        <v>0.18099999999999999</v>
      </c>
      <c r="JP18" s="108">
        <v>0.17599999999999999</v>
      </c>
      <c r="JQ18" s="108">
        <v>0.17799999999999999</v>
      </c>
      <c r="JR18" s="108">
        <v>0.17699999999999999</v>
      </c>
      <c r="JS18" s="108">
        <v>0.182</v>
      </c>
      <c r="JT18" s="108">
        <v>0.185</v>
      </c>
      <c r="JU18" s="108">
        <v>0.185</v>
      </c>
      <c r="JV18" s="108">
        <v>0.184</v>
      </c>
      <c r="JW18" s="108">
        <v>0.184</v>
      </c>
      <c r="JX18" s="108">
        <v>0.184</v>
      </c>
      <c r="JY18" s="108">
        <v>0.184</v>
      </c>
      <c r="JZ18" s="108">
        <v>0.185</v>
      </c>
      <c r="KA18" s="108">
        <v>0.186</v>
      </c>
      <c r="BXV18" s="109">
        <v>1</v>
      </c>
      <c r="BXW18" s="108" t="s">
        <v>155</v>
      </c>
      <c r="BXX18" s="108" t="s">
        <v>154</v>
      </c>
      <c r="BYA18" s="103">
        <v>0</v>
      </c>
      <c r="BYX18" s="108">
        <v>2</v>
      </c>
      <c r="BYY18" s="108">
        <v>4</v>
      </c>
      <c r="BYZ18" s="108">
        <v>4</v>
      </c>
      <c r="CAM18" s="108">
        <v>1</v>
      </c>
      <c r="CAN18" s="108">
        <v>4</v>
      </c>
      <c r="CAO18" s="108">
        <v>0</v>
      </c>
      <c r="CAP18" s="108">
        <v>0</v>
      </c>
      <c r="CAQ18" s="108">
        <v>0.28000000000000003</v>
      </c>
      <c r="CAR18" s="108">
        <v>5</v>
      </c>
      <c r="CAS18" s="108">
        <v>8</v>
      </c>
      <c r="CAT18" s="108">
        <v>0</v>
      </c>
      <c r="CAU18" s="108">
        <v>0</v>
      </c>
      <c r="CAV18" s="108">
        <v>0.28000000000000003</v>
      </c>
    </row>
    <row r="19" spans="1:543 1998:2030 2067:2086">
      <c r="A19" s="106" t="s">
        <v>394</v>
      </c>
      <c r="B19" s="106">
        <v>17</v>
      </c>
      <c r="C19" s="106">
        <v>1</v>
      </c>
      <c r="D19" s="106">
        <v>2</v>
      </c>
      <c r="E19" s="106">
        <v>9</v>
      </c>
      <c r="F19" s="106" t="s">
        <v>424</v>
      </c>
      <c r="GY19" s="95" t="s">
        <v>405</v>
      </c>
      <c r="GZ19" s="108">
        <v>0.29399999999999998</v>
      </c>
      <c r="HA19" s="108">
        <v>0.29299999999999998</v>
      </c>
      <c r="HB19" s="108">
        <v>0.29299999999999998</v>
      </c>
      <c r="HC19" s="108">
        <v>0.29299999999999998</v>
      </c>
      <c r="HD19" s="108">
        <v>0.28299999999999997</v>
      </c>
      <c r="HE19" s="108">
        <v>0.28299999999999997</v>
      </c>
      <c r="HF19" s="108">
        <v>0.28199999999999997</v>
      </c>
      <c r="HG19" s="108">
        <v>0.28299999999999997</v>
      </c>
      <c r="HH19" s="108">
        <v>0.313</v>
      </c>
      <c r="HI19" s="108">
        <v>0.313</v>
      </c>
      <c r="HJ19" s="108">
        <v>0.311</v>
      </c>
      <c r="HK19" s="108">
        <v>0.312</v>
      </c>
      <c r="HL19" s="108">
        <v>0.308</v>
      </c>
      <c r="HM19" s="108">
        <v>0.309</v>
      </c>
      <c r="HN19" s="108">
        <v>0.309</v>
      </c>
      <c r="HO19" s="108">
        <v>0.309</v>
      </c>
      <c r="HP19" s="108">
        <v>0.309</v>
      </c>
      <c r="HQ19" s="108">
        <v>0.311</v>
      </c>
      <c r="HR19" s="108">
        <v>0.311</v>
      </c>
      <c r="HS19" s="108">
        <v>0.31</v>
      </c>
      <c r="HT19" s="108">
        <v>0.311</v>
      </c>
      <c r="HU19" s="108">
        <v>0.30199999999999999</v>
      </c>
      <c r="HV19" s="108">
        <v>0.30299999999999999</v>
      </c>
      <c r="HW19" s="108">
        <v>0.30199999999999999</v>
      </c>
      <c r="HX19" s="108">
        <v>0.30199999999999999</v>
      </c>
      <c r="HY19" s="108">
        <v>0.33100000000000002</v>
      </c>
      <c r="HZ19" s="108">
        <v>0.32900000000000001</v>
      </c>
      <c r="IA19" s="108">
        <v>0.33100000000000002</v>
      </c>
      <c r="IB19" s="108">
        <v>0.32900000000000001</v>
      </c>
      <c r="IC19" s="108">
        <v>0.32400000000000001</v>
      </c>
      <c r="ID19" s="108">
        <v>0.32400000000000001</v>
      </c>
      <c r="IE19" s="108">
        <v>0.32300000000000001</v>
      </c>
      <c r="IF19" s="108">
        <v>0.32400000000000001</v>
      </c>
      <c r="IG19" s="108">
        <v>0.32300000000000001</v>
      </c>
      <c r="IH19" s="108">
        <v>0.32500000000000001</v>
      </c>
      <c r="II19" s="108">
        <v>0.32500000000000001</v>
      </c>
      <c r="IJ19" s="108">
        <v>0.32400000000000001</v>
      </c>
      <c r="IK19" s="108">
        <v>0.32400000000000001</v>
      </c>
      <c r="IL19" s="108">
        <v>0.317</v>
      </c>
      <c r="IM19" s="108">
        <v>0.315</v>
      </c>
      <c r="IN19" s="108">
        <v>0.316</v>
      </c>
      <c r="IO19" s="108">
        <v>0.315</v>
      </c>
      <c r="IP19" s="108">
        <v>0.34399999999999997</v>
      </c>
      <c r="IQ19" s="108">
        <v>0.34499999999999997</v>
      </c>
      <c r="IR19" s="108">
        <v>0.34399999999999997</v>
      </c>
      <c r="IS19" s="108">
        <v>0.34300000000000003</v>
      </c>
      <c r="IT19" s="108">
        <v>0.33800000000000002</v>
      </c>
      <c r="IU19" s="108">
        <v>0.33800000000000002</v>
      </c>
      <c r="IV19" s="108">
        <v>0.33800000000000002</v>
      </c>
      <c r="IW19" s="108">
        <v>0.33800000000000002</v>
      </c>
      <c r="IX19" s="108">
        <v>0.33700000000000002</v>
      </c>
      <c r="IY19" s="108">
        <v>0.33700000000000002</v>
      </c>
      <c r="IZ19" s="108">
        <v>0.33700000000000002</v>
      </c>
      <c r="JA19" s="108">
        <v>0.33700000000000002</v>
      </c>
      <c r="JB19" s="108">
        <v>0.33600000000000002</v>
      </c>
      <c r="JC19" s="108">
        <v>0.32800000000000001</v>
      </c>
      <c r="JD19" s="108">
        <v>0.32800000000000001</v>
      </c>
      <c r="JE19" s="108">
        <v>0.32800000000000001</v>
      </c>
      <c r="JF19" s="108">
        <v>0.32700000000000001</v>
      </c>
      <c r="JG19" s="108">
        <v>0.35899999999999999</v>
      </c>
      <c r="JH19" s="108">
        <v>0.35699999999999998</v>
      </c>
      <c r="JI19" s="108">
        <v>0.35599999999999998</v>
      </c>
      <c r="JJ19" s="108">
        <v>0.35399999999999998</v>
      </c>
      <c r="JK19" s="108">
        <v>0.35</v>
      </c>
      <c r="JL19" s="108">
        <v>0.35</v>
      </c>
      <c r="JM19" s="108">
        <v>0.35</v>
      </c>
      <c r="JN19" s="108">
        <v>0.34899999999999998</v>
      </c>
      <c r="JO19" s="108">
        <v>0.34699999999999998</v>
      </c>
      <c r="JP19" s="108">
        <v>0.34899999999999998</v>
      </c>
      <c r="JQ19" s="108">
        <v>0.34799999999999998</v>
      </c>
      <c r="JR19" s="108">
        <v>0.34799999999999998</v>
      </c>
      <c r="JS19" s="108">
        <v>0.34699999999999998</v>
      </c>
      <c r="JT19" s="108">
        <v>0.34</v>
      </c>
      <c r="JU19" s="108">
        <v>0.33900000000000002</v>
      </c>
      <c r="JV19" s="108">
        <v>0.33900000000000002</v>
      </c>
      <c r="JW19" s="108">
        <v>0.33900000000000002</v>
      </c>
      <c r="JX19" s="108">
        <v>0.37</v>
      </c>
      <c r="JY19" s="108">
        <v>0.36799999999999999</v>
      </c>
      <c r="JZ19" s="108">
        <v>0.36899999999999999</v>
      </c>
      <c r="KA19" s="108">
        <v>0.36699999999999999</v>
      </c>
      <c r="KB19" s="108">
        <v>0.36299999999999999</v>
      </c>
      <c r="KC19" s="108">
        <v>0.36299999999999999</v>
      </c>
      <c r="KD19" s="108">
        <v>0.36199999999999999</v>
      </c>
      <c r="KE19" s="108">
        <v>0.36199999999999999</v>
      </c>
      <c r="KF19" s="108">
        <v>0.36199999999999999</v>
      </c>
      <c r="KG19" s="108">
        <v>0.36099999999999999</v>
      </c>
      <c r="KH19" s="108">
        <v>0.36099999999999999</v>
      </c>
      <c r="KI19" s="108">
        <v>0.36</v>
      </c>
      <c r="KJ19" s="108">
        <v>0.35899999999999999</v>
      </c>
      <c r="KK19" s="108">
        <v>0.35199999999999998</v>
      </c>
      <c r="KL19" s="108">
        <v>0.35</v>
      </c>
      <c r="KM19" s="108">
        <v>0.34899999999999998</v>
      </c>
      <c r="KN19" s="108">
        <v>0.34799999999999998</v>
      </c>
      <c r="KO19" s="108">
        <v>0.38</v>
      </c>
      <c r="KP19" s="108">
        <v>0.38100000000000001</v>
      </c>
      <c r="KQ19" s="108">
        <v>0.38</v>
      </c>
      <c r="KR19" s="108">
        <v>0.378</v>
      </c>
      <c r="KS19" s="108">
        <v>0.372</v>
      </c>
      <c r="KT19" s="108">
        <v>0.373</v>
      </c>
      <c r="KU19" s="108">
        <v>0.374</v>
      </c>
      <c r="KV19" s="108">
        <v>0.374</v>
      </c>
      <c r="KW19" s="108">
        <v>0.373</v>
      </c>
      <c r="KX19" s="108">
        <v>0.372</v>
      </c>
      <c r="KY19" s="108">
        <v>0.373</v>
      </c>
      <c r="KZ19" s="108">
        <v>0.371</v>
      </c>
      <c r="LA19" s="108">
        <v>0.372</v>
      </c>
      <c r="LB19" s="108">
        <v>0.36399999999999999</v>
      </c>
      <c r="LC19" s="108">
        <v>0.36299999999999999</v>
      </c>
      <c r="LD19" s="108">
        <v>0.36399999999999999</v>
      </c>
      <c r="LE19" s="108">
        <v>0.36399999999999999</v>
      </c>
      <c r="LF19" s="108">
        <v>0.39300000000000002</v>
      </c>
      <c r="LG19" s="108">
        <v>0.39400000000000002</v>
      </c>
      <c r="LH19" s="108">
        <v>0.39300000000000002</v>
      </c>
      <c r="LI19" s="108">
        <v>0.39100000000000001</v>
      </c>
      <c r="LJ19" s="108">
        <v>0.38700000000000001</v>
      </c>
      <c r="LK19" s="108">
        <v>0.38700000000000001</v>
      </c>
      <c r="LL19" s="108">
        <v>0.38600000000000001</v>
      </c>
      <c r="LM19" s="108">
        <v>0.38700000000000001</v>
      </c>
      <c r="LN19" s="108">
        <v>0.38500000000000001</v>
      </c>
      <c r="LO19" s="108">
        <v>0.39500000000000002</v>
      </c>
      <c r="LP19" s="108">
        <v>0.38600000000000001</v>
      </c>
      <c r="LQ19" s="108">
        <v>0.38600000000000001</v>
      </c>
      <c r="LR19" s="108">
        <v>0.38400000000000001</v>
      </c>
      <c r="LS19" s="108">
        <v>0.377</v>
      </c>
      <c r="LT19" s="108">
        <v>0.378</v>
      </c>
      <c r="LU19" s="108">
        <v>0.377</v>
      </c>
      <c r="LV19" s="108">
        <v>0.375</v>
      </c>
      <c r="LW19" s="108">
        <v>0.40500000000000003</v>
      </c>
      <c r="LX19" s="108">
        <v>0.40500000000000003</v>
      </c>
      <c r="LY19" s="108">
        <v>0.40400000000000003</v>
      </c>
      <c r="LZ19" s="108">
        <v>0.40300000000000002</v>
      </c>
      <c r="MA19" s="108">
        <v>0.39800000000000002</v>
      </c>
      <c r="MB19" s="108">
        <v>0.39800000000000002</v>
      </c>
      <c r="MC19" s="108">
        <v>0.39900000000000002</v>
      </c>
      <c r="MD19" s="108">
        <v>0.39900000000000002</v>
      </c>
      <c r="ME19" s="108">
        <v>0.39700000000000002</v>
      </c>
      <c r="MF19" s="108">
        <v>0.39700000000000002</v>
      </c>
      <c r="MG19" s="108">
        <v>0.39900000000000002</v>
      </c>
      <c r="MH19" s="108">
        <v>0.39800000000000002</v>
      </c>
      <c r="MI19" s="108">
        <v>0.39900000000000002</v>
      </c>
      <c r="MJ19" s="108">
        <v>0.39100000000000001</v>
      </c>
      <c r="MK19" s="108">
        <v>0.39100000000000001</v>
      </c>
      <c r="ML19" s="108">
        <v>0.39100000000000001</v>
      </c>
      <c r="MM19" s="108">
        <v>0.38900000000000001</v>
      </c>
      <c r="MN19" s="108">
        <v>0.42</v>
      </c>
      <c r="MO19" s="108">
        <v>0.42</v>
      </c>
      <c r="MP19" s="108">
        <v>0.42099999999999999</v>
      </c>
      <c r="MQ19" s="108">
        <v>0.41799999999999998</v>
      </c>
      <c r="MR19" s="108">
        <v>0.41199999999999998</v>
      </c>
      <c r="MS19" s="108">
        <v>0.41299999999999998</v>
      </c>
      <c r="MT19" s="108">
        <v>0.41499999999999998</v>
      </c>
      <c r="MU19" s="108">
        <v>0.41399999999999998</v>
      </c>
      <c r="MV19" s="108">
        <v>0.41</v>
      </c>
      <c r="MW19" s="108">
        <v>0.27100000000000002</v>
      </c>
      <c r="MX19" s="108">
        <v>0.27300000000000002</v>
      </c>
      <c r="MY19" s="108">
        <v>0.27300000000000002</v>
      </c>
      <c r="MZ19" s="108">
        <v>0.27200000000000002</v>
      </c>
      <c r="NA19" s="108">
        <v>0.26500000000000001</v>
      </c>
      <c r="NB19" s="108">
        <v>0.26600000000000001</v>
      </c>
      <c r="NC19" s="108">
        <v>0.26400000000000001</v>
      </c>
      <c r="ND19" s="108">
        <v>0.26600000000000001</v>
      </c>
      <c r="NE19" s="108">
        <v>0.28899999999999998</v>
      </c>
      <c r="NF19" s="108">
        <v>0.28899999999999998</v>
      </c>
      <c r="NG19" s="108">
        <v>0.28799999999999998</v>
      </c>
      <c r="NH19" s="108">
        <v>0.28599999999999998</v>
      </c>
      <c r="NI19" s="108">
        <v>0.28599999999999998</v>
      </c>
      <c r="NJ19" s="108">
        <v>0.28699999999999998</v>
      </c>
      <c r="NK19" s="108">
        <v>0.28699999999999998</v>
      </c>
      <c r="NL19" s="108">
        <v>0.29599999999999999</v>
      </c>
      <c r="NM19" s="108">
        <v>0.28299999999999997</v>
      </c>
      <c r="NN19" s="108">
        <v>0.28299999999999997</v>
      </c>
      <c r="NO19" s="108">
        <v>0.28499999999999998</v>
      </c>
      <c r="NP19" s="108">
        <v>0.28699999999999998</v>
      </c>
      <c r="NQ19" s="108">
        <v>0.28599999999999998</v>
      </c>
      <c r="NR19" s="108">
        <v>0.27800000000000002</v>
      </c>
      <c r="NS19" s="108">
        <v>0.27800000000000002</v>
      </c>
      <c r="NT19" s="108">
        <v>0.27700000000000002</v>
      </c>
      <c r="NU19" s="108">
        <v>0.27800000000000002</v>
      </c>
      <c r="NV19" s="108">
        <v>0.30299999999999999</v>
      </c>
      <c r="NW19" s="108">
        <v>0.30199999999999999</v>
      </c>
      <c r="NX19" s="108">
        <v>0.3</v>
      </c>
      <c r="NY19" s="108">
        <v>0.3</v>
      </c>
      <c r="NZ19" s="108">
        <v>0.3</v>
      </c>
      <c r="OA19" s="108">
        <v>0.30099999999999999</v>
      </c>
      <c r="OB19" s="108">
        <v>0.30199999999999999</v>
      </c>
      <c r="OC19" s="108">
        <v>0.29899999999999999</v>
      </c>
      <c r="OD19" s="108">
        <v>0.29699999999999999</v>
      </c>
      <c r="OE19" s="108">
        <v>0.29599999999999999</v>
      </c>
      <c r="OF19" s="108">
        <v>0.3</v>
      </c>
      <c r="OG19" s="108">
        <v>0.3</v>
      </c>
      <c r="OH19" s="108">
        <v>0.3</v>
      </c>
      <c r="OI19" s="108">
        <v>0.28999999999999998</v>
      </c>
      <c r="OJ19" s="108">
        <v>0.29199999999999998</v>
      </c>
      <c r="OK19" s="108">
        <v>0.29199999999999998</v>
      </c>
      <c r="OL19" s="108">
        <v>0.29199999999999998</v>
      </c>
      <c r="OM19" s="108">
        <v>0.315</v>
      </c>
      <c r="ON19" s="108">
        <v>0.314</v>
      </c>
      <c r="OO19" s="108">
        <v>0.313</v>
      </c>
      <c r="OP19" s="108">
        <v>0.31</v>
      </c>
      <c r="OQ19" s="108">
        <v>0.31</v>
      </c>
      <c r="OR19" s="108">
        <v>0.312</v>
      </c>
      <c r="OS19" s="108">
        <v>0.313</v>
      </c>
      <c r="OT19" s="108">
        <v>0.311</v>
      </c>
      <c r="OU19" s="108">
        <v>0.309</v>
      </c>
      <c r="OV19" s="108">
        <v>0.309</v>
      </c>
      <c r="OW19" s="108">
        <v>0.311</v>
      </c>
      <c r="OX19" s="108">
        <v>0.313</v>
      </c>
      <c r="OY19" s="108">
        <v>0.313</v>
      </c>
      <c r="OZ19" s="108">
        <v>0.30299999999999999</v>
      </c>
      <c r="PA19" s="108">
        <v>0.30399999999999999</v>
      </c>
      <c r="PB19" s="108">
        <v>0.30099999999999999</v>
      </c>
      <c r="PC19" s="108">
        <v>0.30499999999999999</v>
      </c>
      <c r="PD19" s="108">
        <v>0.32700000000000001</v>
      </c>
      <c r="PE19" s="108">
        <v>0.32600000000000001</v>
      </c>
      <c r="PF19" s="108">
        <v>0.32500000000000001</v>
      </c>
      <c r="PG19" s="108">
        <v>0.32300000000000001</v>
      </c>
      <c r="PH19" s="108">
        <v>0.32400000000000001</v>
      </c>
      <c r="PI19" s="108">
        <v>0.32400000000000001</v>
      </c>
      <c r="PJ19" s="108">
        <v>0.32400000000000001</v>
      </c>
      <c r="PK19" s="108">
        <v>0.32300000000000001</v>
      </c>
      <c r="PL19" s="108">
        <v>0.31900000000000001</v>
      </c>
      <c r="PM19" s="108">
        <v>0.32200000000000001</v>
      </c>
      <c r="PN19" s="108">
        <v>0.32300000000000001</v>
      </c>
      <c r="PO19" s="108">
        <v>0.32500000000000001</v>
      </c>
      <c r="PP19" s="108">
        <v>0.32300000000000001</v>
      </c>
      <c r="PQ19" s="108">
        <v>0.315</v>
      </c>
      <c r="PR19" s="108">
        <v>0.316</v>
      </c>
      <c r="PS19" s="108">
        <v>0.313</v>
      </c>
      <c r="PT19" s="108">
        <v>0.317</v>
      </c>
      <c r="PU19" s="108">
        <v>0.34</v>
      </c>
      <c r="PV19" s="108">
        <v>0.33700000000000002</v>
      </c>
      <c r="PW19" s="108">
        <v>0.33700000000000002</v>
      </c>
      <c r="PX19" s="108">
        <v>0.33600000000000002</v>
      </c>
      <c r="PY19" s="108">
        <v>0.33700000000000002</v>
      </c>
      <c r="PZ19" s="108">
        <v>0.33800000000000002</v>
      </c>
      <c r="QA19" s="108">
        <v>0.33800000000000002</v>
      </c>
      <c r="QB19" s="108">
        <v>0.33500000000000002</v>
      </c>
      <c r="QC19" s="108">
        <v>0.33400000000000002</v>
      </c>
      <c r="QD19" s="108">
        <v>0.33400000000000002</v>
      </c>
      <c r="QE19" s="108">
        <v>0.33700000000000002</v>
      </c>
      <c r="QF19" s="108">
        <v>0.33600000000000002</v>
      </c>
      <c r="QG19" s="108">
        <v>0.33500000000000002</v>
      </c>
      <c r="QH19" s="108">
        <v>0.32700000000000001</v>
      </c>
      <c r="QI19" s="108">
        <v>0.32700000000000001</v>
      </c>
      <c r="QJ19" s="108">
        <v>0.33100000000000002</v>
      </c>
      <c r="QK19" s="108">
        <v>0.32800000000000001</v>
      </c>
      <c r="QL19" s="108">
        <v>0.34899999999999998</v>
      </c>
      <c r="QM19" s="108">
        <v>0.34799999999999998</v>
      </c>
      <c r="QN19" s="108">
        <v>0.34499999999999997</v>
      </c>
      <c r="QO19" s="108">
        <v>0.34599999999999997</v>
      </c>
      <c r="QP19" s="108">
        <v>0.34799999999999998</v>
      </c>
      <c r="QQ19" s="108">
        <v>0.34899999999999998</v>
      </c>
      <c r="QR19" s="108">
        <v>0.34699999999999998</v>
      </c>
      <c r="QS19" s="108">
        <v>0.34399999999999997</v>
      </c>
      <c r="QT19" s="108">
        <v>0.34499999999999997</v>
      </c>
      <c r="QU19" s="108">
        <v>0.34599999999999997</v>
      </c>
      <c r="QV19" s="108">
        <v>0.34799999999999998</v>
      </c>
      <c r="QW19" s="108">
        <v>0.34799999999999998</v>
      </c>
      <c r="QX19" s="108">
        <v>0.34899999999999998</v>
      </c>
      <c r="QY19" s="108">
        <v>0.34200000000000003</v>
      </c>
      <c r="QZ19" s="108">
        <v>0.33900000000000002</v>
      </c>
      <c r="RA19" s="108">
        <v>0.34200000000000003</v>
      </c>
      <c r="RB19" s="108">
        <v>0.34200000000000003</v>
      </c>
      <c r="RC19" s="108">
        <v>0.36099999999999999</v>
      </c>
      <c r="RD19" s="108">
        <v>0.36</v>
      </c>
      <c r="RE19" s="108">
        <v>0.35799999999999998</v>
      </c>
      <c r="RF19" s="108">
        <v>0.35899999999999999</v>
      </c>
      <c r="RG19" s="108">
        <v>0.36099999999999999</v>
      </c>
      <c r="RH19" s="108">
        <v>0.36199999999999999</v>
      </c>
      <c r="RI19" s="108">
        <v>0.36299999999999999</v>
      </c>
      <c r="RJ19" s="108">
        <v>0.35899999999999999</v>
      </c>
      <c r="RK19" s="108">
        <v>0.35799999999999998</v>
      </c>
      <c r="RL19" s="108">
        <v>0.35899999999999999</v>
      </c>
      <c r="RM19" s="108">
        <v>0.36299999999999999</v>
      </c>
      <c r="RN19" s="108">
        <v>0.36199999999999999</v>
      </c>
      <c r="RO19" s="108">
        <v>0.36199999999999999</v>
      </c>
      <c r="RP19" s="108">
        <v>0.35599999999999998</v>
      </c>
      <c r="RQ19" s="108">
        <v>0.35399999999999998</v>
      </c>
      <c r="RR19" s="108">
        <v>0.35499999999999998</v>
      </c>
      <c r="RS19" s="108">
        <v>0.35599999999999998</v>
      </c>
      <c r="RT19" s="108">
        <v>0.374</v>
      </c>
      <c r="RU19" s="108">
        <v>0.372</v>
      </c>
      <c r="RV19" s="108">
        <v>0.37</v>
      </c>
      <c r="RW19" s="108">
        <v>0.37</v>
      </c>
      <c r="RX19" s="108">
        <v>0.371</v>
      </c>
      <c r="RY19" s="108">
        <v>0.372</v>
      </c>
      <c r="RZ19" s="108">
        <v>0.371</v>
      </c>
      <c r="SA19" s="108">
        <v>0.36799999999999999</v>
      </c>
      <c r="SB19" s="108">
        <v>0.36899999999999999</v>
      </c>
      <c r="SC19" s="108">
        <v>0.372</v>
      </c>
      <c r="SD19" s="108">
        <v>0.376</v>
      </c>
      <c r="SE19" s="108">
        <v>0.374</v>
      </c>
      <c r="SF19" s="108">
        <v>0.375</v>
      </c>
      <c r="SG19" s="108">
        <v>0.36899999999999999</v>
      </c>
      <c r="SH19" s="108">
        <v>0.37</v>
      </c>
      <c r="SI19" s="108">
        <v>0.36899999999999999</v>
      </c>
      <c r="SJ19" s="108">
        <v>0.37</v>
      </c>
      <c r="SK19" s="108">
        <v>0.38700000000000001</v>
      </c>
      <c r="SL19" s="108">
        <v>0.38900000000000001</v>
      </c>
      <c r="SM19" s="108">
        <v>0.38300000000000001</v>
      </c>
      <c r="SN19" s="108">
        <v>0.38300000000000001</v>
      </c>
      <c r="SO19" s="108">
        <v>0.38600000000000001</v>
      </c>
      <c r="SP19" s="108">
        <v>0.38600000000000001</v>
      </c>
      <c r="SQ19" s="108">
        <v>0.38600000000000001</v>
      </c>
      <c r="SR19" s="108">
        <v>0.38300000000000001</v>
      </c>
      <c r="SS19" s="108">
        <v>0.38200000000000001</v>
      </c>
      <c r="BXV19" s="109">
        <v>1</v>
      </c>
      <c r="BXW19" s="108" t="s">
        <v>155</v>
      </c>
      <c r="BXX19" s="108" t="s">
        <v>154</v>
      </c>
      <c r="BYA19" s="103">
        <v>0</v>
      </c>
      <c r="BYX19" s="108">
        <v>2</v>
      </c>
      <c r="BYY19" s="108">
        <v>8</v>
      </c>
      <c r="BYZ19" s="108">
        <v>9</v>
      </c>
      <c r="CAM19" s="108">
        <v>1</v>
      </c>
      <c r="CAN19" s="108">
        <v>8</v>
      </c>
      <c r="CAO19" s="108">
        <v>0.105</v>
      </c>
      <c r="CAP19" s="108">
        <v>0</v>
      </c>
      <c r="CAQ19" s="108">
        <v>0.09</v>
      </c>
      <c r="CAR19" s="108">
        <v>9</v>
      </c>
      <c r="CAS19" s="108">
        <v>17</v>
      </c>
      <c r="CAT19" s="108">
        <v>0.15</v>
      </c>
      <c r="CAU19" s="108">
        <v>0</v>
      </c>
      <c r="CAV19" s="108">
        <v>0.09</v>
      </c>
    </row>
    <row r="20" spans="1:543 1998:2030 2067:2086">
      <c r="A20" s="106" t="s">
        <v>451</v>
      </c>
      <c r="B20" s="106">
        <v>17</v>
      </c>
      <c r="C20" s="106">
        <v>1</v>
      </c>
      <c r="D20" s="106">
        <v>1</v>
      </c>
      <c r="E20" s="106">
        <v>10</v>
      </c>
      <c r="F20" s="106" t="s">
        <v>424</v>
      </c>
      <c r="GY20" s="95" t="s">
        <v>452</v>
      </c>
      <c r="GZ20" s="108">
        <v>1.2030000000000001</v>
      </c>
      <c r="HA20" s="108">
        <v>1.204</v>
      </c>
      <c r="HB20" s="108">
        <v>1.2030000000000001</v>
      </c>
      <c r="HC20" s="108">
        <v>1.202</v>
      </c>
      <c r="HD20" s="108">
        <v>1.2030000000000001</v>
      </c>
      <c r="HE20" s="108">
        <v>1.236</v>
      </c>
      <c r="HF20" s="108">
        <v>1.2370000000000001</v>
      </c>
      <c r="HG20" s="108">
        <v>1.236</v>
      </c>
      <c r="HH20" s="108">
        <v>1.2370000000000001</v>
      </c>
      <c r="HI20" s="108">
        <v>1.24</v>
      </c>
      <c r="HJ20" s="108">
        <v>1.24</v>
      </c>
      <c r="HK20" s="108">
        <v>1.246</v>
      </c>
      <c r="HL20" s="108">
        <v>1.246</v>
      </c>
      <c r="HM20" s="108">
        <v>1.2470000000000001</v>
      </c>
      <c r="HN20" s="108">
        <v>1.2470000000000001</v>
      </c>
      <c r="HO20" s="108">
        <v>1.248</v>
      </c>
      <c r="HP20" s="108">
        <v>1.2490000000000001</v>
      </c>
      <c r="HQ20" s="108">
        <v>1.214</v>
      </c>
      <c r="HR20" s="108">
        <v>1.2130000000000001</v>
      </c>
      <c r="HS20" s="108">
        <v>1.214</v>
      </c>
      <c r="HT20" s="108">
        <v>1.214</v>
      </c>
      <c r="HU20" s="108">
        <v>1.2150000000000001</v>
      </c>
      <c r="HV20" s="108">
        <v>1.248</v>
      </c>
      <c r="HW20" s="108">
        <v>1.248</v>
      </c>
      <c r="HX20" s="108">
        <v>1.248</v>
      </c>
      <c r="HY20" s="108">
        <v>1.2490000000000001</v>
      </c>
      <c r="HZ20" s="108">
        <v>1.25</v>
      </c>
      <c r="IA20" s="108">
        <v>1.25</v>
      </c>
      <c r="IB20" s="108">
        <v>1.256</v>
      </c>
      <c r="IC20" s="108">
        <v>1.256</v>
      </c>
      <c r="ID20" s="108">
        <v>1.2569999999999999</v>
      </c>
      <c r="IE20" s="108">
        <v>1.2569999999999999</v>
      </c>
      <c r="IF20" s="108">
        <v>1.2589999999999999</v>
      </c>
      <c r="IG20" s="108">
        <v>1.26</v>
      </c>
      <c r="IH20" s="108">
        <v>1.2250000000000001</v>
      </c>
      <c r="II20" s="108">
        <v>1.2250000000000001</v>
      </c>
      <c r="IJ20" s="108">
        <v>1.226</v>
      </c>
      <c r="IK20" s="108">
        <v>1.2250000000000001</v>
      </c>
      <c r="IL20" s="108">
        <v>1.2250000000000001</v>
      </c>
      <c r="IM20" s="108">
        <v>1.2569999999999999</v>
      </c>
      <c r="IN20" s="108">
        <v>1.258</v>
      </c>
      <c r="IO20" s="108">
        <v>1.26</v>
      </c>
      <c r="IP20" s="108">
        <v>1.2589999999999999</v>
      </c>
      <c r="IQ20" s="108">
        <v>1.262</v>
      </c>
      <c r="IR20" s="108">
        <v>1.262</v>
      </c>
      <c r="IS20" s="108">
        <v>1.2669999999999999</v>
      </c>
      <c r="IT20" s="108">
        <v>1.2669999999999999</v>
      </c>
      <c r="IU20" s="108">
        <v>1.268</v>
      </c>
      <c r="IV20" s="108">
        <v>1.2689999999999999</v>
      </c>
      <c r="IW20" s="108">
        <v>1.2709999999999999</v>
      </c>
      <c r="IX20" s="108">
        <v>1.272</v>
      </c>
      <c r="IY20" s="108">
        <v>1.234</v>
      </c>
      <c r="IZ20" s="108">
        <v>1.234</v>
      </c>
      <c r="JA20" s="108">
        <v>1.234</v>
      </c>
      <c r="JB20" s="108">
        <v>1.2330000000000001</v>
      </c>
      <c r="JC20" s="108">
        <v>1.2350000000000001</v>
      </c>
      <c r="JD20" s="108">
        <v>1.2689999999999999</v>
      </c>
      <c r="JE20" s="108">
        <v>1.2689999999999999</v>
      </c>
      <c r="JF20" s="108">
        <v>1.27</v>
      </c>
      <c r="JG20" s="108">
        <v>1.2729999999999999</v>
      </c>
      <c r="JH20" s="108">
        <v>1.272</v>
      </c>
      <c r="JI20" s="108">
        <v>1.274</v>
      </c>
      <c r="JJ20" s="108">
        <v>1.2789999999999999</v>
      </c>
      <c r="JK20" s="108">
        <v>1.2789999999999999</v>
      </c>
      <c r="JL20" s="108">
        <v>1.2789999999999999</v>
      </c>
      <c r="JM20" s="108">
        <v>1.2809999999999999</v>
      </c>
      <c r="JN20" s="108">
        <v>1.2829999999999999</v>
      </c>
      <c r="JO20" s="108">
        <v>1.2809999999999999</v>
      </c>
      <c r="JP20" s="108">
        <v>1.2490000000000001</v>
      </c>
      <c r="JQ20" s="108">
        <v>1.2470000000000001</v>
      </c>
      <c r="JR20" s="108">
        <v>1.248</v>
      </c>
      <c r="JS20" s="108">
        <v>1.248</v>
      </c>
      <c r="JT20" s="108">
        <v>1.2490000000000001</v>
      </c>
      <c r="JU20" s="108">
        <v>1.282</v>
      </c>
      <c r="JV20" s="108">
        <v>1.2829999999999999</v>
      </c>
      <c r="JW20" s="108">
        <v>1.2829999999999999</v>
      </c>
      <c r="JX20" s="108">
        <v>1.286</v>
      </c>
      <c r="JY20" s="108">
        <v>1.2869999999999999</v>
      </c>
      <c r="JZ20" s="108">
        <v>1.288</v>
      </c>
      <c r="KA20" s="108">
        <v>1.294</v>
      </c>
      <c r="KB20" s="108">
        <v>1.294</v>
      </c>
      <c r="KC20" s="108">
        <v>1.2949999999999999</v>
      </c>
      <c r="KD20" s="108">
        <v>1.2929999999999999</v>
      </c>
      <c r="KE20" s="108">
        <v>1.2949999999999999</v>
      </c>
      <c r="KF20" s="108">
        <v>1.296</v>
      </c>
      <c r="KG20" s="108">
        <v>1.256</v>
      </c>
      <c r="KH20" s="108">
        <v>1.2549999999999999</v>
      </c>
      <c r="KI20" s="108">
        <v>1.2569999999999999</v>
      </c>
      <c r="KJ20" s="108">
        <v>1.256</v>
      </c>
      <c r="KK20" s="108">
        <v>1.256</v>
      </c>
      <c r="KL20" s="108">
        <v>1.2909999999999999</v>
      </c>
      <c r="KM20" s="108">
        <v>1.292</v>
      </c>
      <c r="KN20" s="108">
        <v>1.294</v>
      </c>
      <c r="KO20" s="108">
        <v>1.296</v>
      </c>
      <c r="KP20" s="108">
        <v>1.2949999999999999</v>
      </c>
      <c r="KQ20" s="108">
        <v>1.296</v>
      </c>
      <c r="KR20" s="108">
        <v>1.3</v>
      </c>
      <c r="KS20" s="108">
        <v>1.302</v>
      </c>
      <c r="KT20" s="108">
        <v>1.302</v>
      </c>
      <c r="KU20" s="108">
        <v>1.3049999999999999</v>
      </c>
      <c r="KV20" s="108">
        <v>1.306</v>
      </c>
      <c r="KW20" s="108">
        <v>1.304</v>
      </c>
      <c r="KX20" s="108">
        <v>1.27</v>
      </c>
      <c r="KY20" s="108">
        <v>1.2689999999999999</v>
      </c>
      <c r="KZ20" s="108">
        <v>1.27</v>
      </c>
      <c r="LA20" s="108">
        <v>1.27</v>
      </c>
      <c r="LB20" s="108">
        <v>1.2709999999999999</v>
      </c>
      <c r="LC20" s="108">
        <v>1.3049999999999999</v>
      </c>
      <c r="LD20" s="108">
        <v>1.306</v>
      </c>
      <c r="LE20" s="108">
        <v>1.306</v>
      </c>
      <c r="LF20" s="108">
        <v>1.31</v>
      </c>
      <c r="LG20" s="108">
        <v>1.3109999999999999</v>
      </c>
      <c r="LH20" s="108">
        <v>1.3109999999999999</v>
      </c>
      <c r="LI20" s="108">
        <v>1.3160000000000001</v>
      </c>
      <c r="LJ20" s="108">
        <v>1.3169999999999999</v>
      </c>
      <c r="LK20" s="108">
        <v>1.3169999999999999</v>
      </c>
      <c r="LL20" s="108">
        <v>1.319</v>
      </c>
      <c r="LM20" s="108">
        <v>1.32</v>
      </c>
      <c r="LN20" s="108">
        <v>1.32</v>
      </c>
      <c r="LO20" s="108">
        <v>1.278</v>
      </c>
      <c r="LP20" s="108">
        <v>1.2749999999999999</v>
      </c>
      <c r="LQ20" s="108">
        <v>1.278</v>
      </c>
      <c r="LR20" s="108">
        <v>1.278</v>
      </c>
      <c r="LS20" s="108">
        <v>1.278</v>
      </c>
      <c r="LT20" s="108">
        <v>1.3129999999999999</v>
      </c>
      <c r="LU20" s="108">
        <v>1.3129999999999999</v>
      </c>
      <c r="LV20" s="108">
        <v>1.3140000000000001</v>
      </c>
      <c r="LW20" s="108">
        <v>1.3169999999999999</v>
      </c>
      <c r="LX20" s="108">
        <v>1.3180000000000001</v>
      </c>
      <c r="LY20" s="108">
        <v>1.319</v>
      </c>
      <c r="LZ20" s="108">
        <v>1.323</v>
      </c>
      <c r="MA20" s="108">
        <v>1.3240000000000001</v>
      </c>
      <c r="MB20" s="108">
        <v>1.325</v>
      </c>
      <c r="MC20" s="108">
        <v>1.3260000000000001</v>
      </c>
      <c r="MD20" s="108">
        <v>1.3280000000000001</v>
      </c>
      <c r="ME20" s="108">
        <v>1.3260000000000001</v>
      </c>
      <c r="MF20" s="108">
        <v>1.29</v>
      </c>
      <c r="MG20" s="108">
        <v>1.292</v>
      </c>
      <c r="MH20" s="108">
        <v>1.292</v>
      </c>
      <c r="MI20" s="108">
        <v>1.2909999999999999</v>
      </c>
      <c r="MJ20" s="108">
        <v>1.292</v>
      </c>
      <c r="MK20" s="108">
        <v>1.327</v>
      </c>
      <c r="ML20" s="108">
        <v>1.3280000000000001</v>
      </c>
      <c r="MM20" s="108">
        <v>1.33</v>
      </c>
      <c r="MN20" s="108">
        <v>1.3320000000000001</v>
      </c>
      <c r="MO20" s="108">
        <v>1.333</v>
      </c>
      <c r="MP20" s="108">
        <v>1.3340000000000001</v>
      </c>
      <c r="MQ20" s="108">
        <v>1.3380000000000001</v>
      </c>
      <c r="MR20" s="108">
        <v>1.339</v>
      </c>
      <c r="MS20" s="108">
        <v>1.339</v>
      </c>
      <c r="MT20" s="108">
        <v>1.3420000000000001</v>
      </c>
      <c r="MU20" s="108">
        <v>1.343</v>
      </c>
      <c r="MV20" s="108">
        <v>1.341</v>
      </c>
      <c r="MW20" s="108">
        <v>1.2969999999999999</v>
      </c>
      <c r="MX20" s="108">
        <v>1.298</v>
      </c>
      <c r="MY20" s="108">
        <v>1.2989999999999999</v>
      </c>
      <c r="MZ20" s="108">
        <v>1.2989999999999999</v>
      </c>
      <c r="NA20" s="108">
        <v>1.2989999999999999</v>
      </c>
      <c r="NB20" s="108">
        <v>1.3320000000000001</v>
      </c>
      <c r="NC20" s="108">
        <v>1.335</v>
      </c>
      <c r="ND20" s="108">
        <v>1.335</v>
      </c>
      <c r="NE20" s="108">
        <v>1.3380000000000001</v>
      </c>
      <c r="NF20" s="108">
        <v>1.339</v>
      </c>
      <c r="NG20" s="108">
        <v>1.34</v>
      </c>
      <c r="NH20" s="108">
        <v>1.345</v>
      </c>
      <c r="NI20" s="108">
        <v>1.3460000000000001</v>
      </c>
      <c r="NJ20" s="108">
        <v>1.345</v>
      </c>
      <c r="NK20" s="108">
        <v>1.349</v>
      </c>
      <c r="NL20" s="108">
        <v>1.349</v>
      </c>
      <c r="NM20" s="108">
        <v>1.3480000000000001</v>
      </c>
      <c r="BXV20" s="109">
        <v>1</v>
      </c>
      <c r="BXW20" s="108" t="s">
        <v>155</v>
      </c>
      <c r="BXX20" s="108" t="s">
        <v>154</v>
      </c>
      <c r="BYA20" s="103">
        <v>0</v>
      </c>
      <c r="BYX20" s="108">
        <v>4</v>
      </c>
      <c r="BYY20" s="108">
        <v>4</v>
      </c>
      <c r="BYZ20" s="108">
        <v>1</v>
      </c>
      <c r="BZA20" s="108">
        <v>6</v>
      </c>
      <c r="BZB20" s="108">
        <v>6</v>
      </c>
      <c r="CAM20" s="108">
        <v>1</v>
      </c>
      <c r="CAN20" s="108">
        <v>4</v>
      </c>
      <c r="CAO20" s="108">
        <v>0.09</v>
      </c>
      <c r="CAP20" s="108">
        <v>0.01</v>
      </c>
      <c r="CAQ20" s="108">
        <v>0.17899999999999999</v>
      </c>
      <c r="CAR20" s="108">
        <v>5</v>
      </c>
      <c r="CAS20" s="108">
        <v>5</v>
      </c>
      <c r="CAT20" s="108">
        <v>0</v>
      </c>
      <c r="CAU20" s="108">
        <v>0.15</v>
      </c>
      <c r="CAV20" s="108">
        <v>0.26900000000000002</v>
      </c>
      <c r="CAW20" s="108">
        <v>6</v>
      </c>
      <c r="CAX20" s="108">
        <v>11</v>
      </c>
      <c r="CAY20" s="108">
        <v>0.09</v>
      </c>
      <c r="CAZ20" s="108">
        <v>0.01</v>
      </c>
      <c r="CBA20" s="108">
        <v>0.17899999999999999</v>
      </c>
      <c r="CBB20" s="108">
        <v>12</v>
      </c>
      <c r="CBC20" s="108">
        <v>17</v>
      </c>
      <c r="CBD20" s="108">
        <v>0.09</v>
      </c>
      <c r="CBE20" s="108">
        <v>0.01</v>
      </c>
      <c r="CBF20" s="108">
        <v>0.17899999999999999</v>
      </c>
    </row>
    <row r="21" spans="1:543 1998:2030 2067:2086">
      <c r="A21" s="106" t="s">
        <v>453</v>
      </c>
      <c r="B21" s="106">
        <v>3</v>
      </c>
      <c r="C21" s="106">
        <v>1</v>
      </c>
      <c r="D21" s="106">
        <v>1</v>
      </c>
      <c r="E21" s="106">
        <v>10</v>
      </c>
      <c r="F21" s="106" t="s">
        <v>424</v>
      </c>
      <c r="GY21" s="95" t="s">
        <v>452</v>
      </c>
      <c r="GZ21" s="108">
        <v>0.216</v>
      </c>
      <c r="HA21" s="108">
        <v>0.25</v>
      </c>
      <c r="HB21" s="108">
        <v>0.25900000000000001</v>
      </c>
      <c r="HC21" s="108">
        <v>0.224</v>
      </c>
      <c r="HD21" s="108">
        <v>0.25800000000000001</v>
      </c>
      <c r="HE21" s="108">
        <v>0.26800000000000002</v>
      </c>
      <c r="HF21" s="108">
        <v>0.23699999999999999</v>
      </c>
      <c r="HG21" s="108">
        <v>0.27300000000000002</v>
      </c>
      <c r="HH21" s="108">
        <v>0.28299999999999997</v>
      </c>
      <c r="HI21" s="108">
        <v>0.24399999999999999</v>
      </c>
      <c r="HJ21" s="108">
        <v>0.28199999999999997</v>
      </c>
      <c r="HK21" s="108">
        <v>0.29199999999999998</v>
      </c>
      <c r="HL21" s="108">
        <v>0.26200000000000001</v>
      </c>
      <c r="HM21" s="108">
        <v>0.29799999999999999</v>
      </c>
      <c r="HN21" s="108">
        <v>0.30599999999999999</v>
      </c>
      <c r="HO21" s="108">
        <v>0.27200000000000002</v>
      </c>
      <c r="HP21" s="108">
        <v>0.30599999999999999</v>
      </c>
      <c r="HQ21" s="108">
        <v>0.317</v>
      </c>
      <c r="HR21" s="108">
        <v>0.28599999999999998</v>
      </c>
      <c r="HS21" s="108">
        <v>0.32200000000000001</v>
      </c>
      <c r="HT21" s="108">
        <v>0.33300000000000002</v>
      </c>
      <c r="HU21" s="108">
        <v>0.29499999999999998</v>
      </c>
      <c r="HV21" s="108">
        <v>0.33200000000000002</v>
      </c>
      <c r="HW21" s="108">
        <v>0.34200000000000003</v>
      </c>
      <c r="HX21" s="108">
        <v>0.308</v>
      </c>
      <c r="HY21" s="108">
        <v>0.34599999999999997</v>
      </c>
      <c r="HZ21" s="108">
        <v>0.35599999999999998</v>
      </c>
      <c r="IA21" s="108">
        <v>0.317</v>
      </c>
      <c r="IB21" s="108">
        <v>0.35399999999999998</v>
      </c>
      <c r="IC21" s="108">
        <v>0.36499999999999999</v>
      </c>
      <c r="BXV21" s="109">
        <v>1</v>
      </c>
      <c r="BXW21" s="108" t="s">
        <v>155</v>
      </c>
      <c r="BXX21" s="108" t="s">
        <v>154</v>
      </c>
      <c r="BYA21" s="103">
        <v>0</v>
      </c>
      <c r="BYX21" s="108">
        <v>3</v>
      </c>
      <c r="BYY21" s="108">
        <v>1</v>
      </c>
      <c r="BYZ21" s="108">
        <v>1</v>
      </c>
      <c r="BZA21" s="108">
        <v>1</v>
      </c>
      <c r="CAM21" s="108">
        <v>1</v>
      </c>
      <c r="CAN21" s="108">
        <v>1</v>
      </c>
      <c r="CAO21" s="108">
        <v>0.09</v>
      </c>
      <c r="CAP21" s="108">
        <v>0.01</v>
      </c>
      <c r="CAQ21" s="108">
        <v>8.8999999999999996E-2</v>
      </c>
      <c r="CAR21" s="108">
        <v>2</v>
      </c>
      <c r="CAS21" s="108">
        <v>2</v>
      </c>
      <c r="CAT21" s="108">
        <v>0.09</v>
      </c>
      <c r="CAU21" s="108">
        <v>0.01</v>
      </c>
      <c r="CAV21" s="108">
        <v>8.8999999999999996E-2</v>
      </c>
      <c r="CAW21" s="108">
        <v>3</v>
      </c>
      <c r="CAX21" s="108">
        <v>3</v>
      </c>
      <c r="CAY21" s="108">
        <v>0.09</v>
      </c>
      <c r="CAZ21" s="108">
        <v>0.01</v>
      </c>
      <c r="CBA21" s="108">
        <v>8.8999999999999996E-2</v>
      </c>
    </row>
    <row r="22" spans="1:543 1998:2030 2067:2086">
      <c r="A22" s="106" t="s">
        <v>454</v>
      </c>
      <c r="B22" s="106">
        <v>2</v>
      </c>
      <c r="C22" s="106">
        <v>1</v>
      </c>
      <c r="D22" s="106">
        <v>4</v>
      </c>
      <c r="E22" s="106">
        <v>12</v>
      </c>
      <c r="F22" s="106" t="s">
        <v>424</v>
      </c>
      <c r="GY22" s="95" t="s">
        <v>455</v>
      </c>
      <c r="GZ22" s="108">
        <v>1.357</v>
      </c>
      <c r="HA22" s="108">
        <v>1.3580000000000001</v>
      </c>
      <c r="HB22" s="108">
        <v>1.36</v>
      </c>
      <c r="HC22" s="108">
        <v>1.36</v>
      </c>
      <c r="HD22" s="108">
        <v>1.361</v>
      </c>
      <c r="HE22" s="108">
        <v>1.359</v>
      </c>
      <c r="HF22" s="108">
        <v>1.359</v>
      </c>
      <c r="HG22" s="108">
        <v>1.359</v>
      </c>
      <c r="HH22" s="108">
        <v>1.357</v>
      </c>
      <c r="HI22" s="108">
        <v>1.3560000000000001</v>
      </c>
      <c r="HJ22" s="108">
        <v>1.3540000000000001</v>
      </c>
      <c r="HK22" s="108">
        <v>1.3540000000000001</v>
      </c>
      <c r="HL22" s="108">
        <v>1.351</v>
      </c>
      <c r="HM22" s="108">
        <v>1.35</v>
      </c>
      <c r="HN22" s="108">
        <v>1.3460000000000001</v>
      </c>
      <c r="HO22" s="108">
        <v>1.347</v>
      </c>
      <c r="HP22" s="108">
        <v>1.3440000000000001</v>
      </c>
      <c r="HQ22" s="108">
        <v>1.345</v>
      </c>
      <c r="HR22" s="108">
        <v>1.3440000000000001</v>
      </c>
      <c r="HS22" s="108">
        <v>1.343</v>
      </c>
      <c r="HT22" s="108">
        <v>1.34</v>
      </c>
      <c r="HU22" s="108">
        <v>1.341</v>
      </c>
      <c r="HV22" s="108">
        <v>1.337</v>
      </c>
      <c r="HW22" s="108">
        <v>1.339</v>
      </c>
      <c r="HX22" s="108">
        <v>1.339</v>
      </c>
      <c r="HY22" s="108">
        <v>1.339</v>
      </c>
      <c r="HZ22" s="108">
        <v>1.3440000000000001</v>
      </c>
      <c r="IA22" s="108">
        <v>1.3460000000000001</v>
      </c>
      <c r="IB22" s="108">
        <v>1.3480000000000001</v>
      </c>
      <c r="IC22" s="108">
        <v>1.347</v>
      </c>
      <c r="ID22" s="108">
        <v>1.3480000000000001</v>
      </c>
      <c r="IE22" s="108">
        <v>1.3480000000000001</v>
      </c>
      <c r="IF22" s="108">
        <v>1.3460000000000001</v>
      </c>
      <c r="IG22" s="108">
        <v>1.347</v>
      </c>
      <c r="IH22" s="108">
        <v>1.3460000000000001</v>
      </c>
      <c r="II22" s="108">
        <v>1.3460000000000001</v>
      </c>
      <c r="IJ22" s="108">
        <v>1.3420000000000001</v>
      </c>
      <c r="IK22" s="108">
        <v>1.343</v>
      </c>
      <c r="IL22" s="108">
        <v>1.341</v>
      </c>
      <c r="IM22" s="108">
        <v>1.341</v>
      </c>
      <c r="IN22" s="108">
        <v>1.341</v>
      </c>
      <c r="IO22" s="108">
        <v>1.34</v>
      </c>
      <c r="IP22" s="108">
        <v>1.337</v>
      </c>
      <c r="IQ22" s="108">
        <v>1.337</v>
      </c>
      <c r="IR22" s="108">
        <v>1.3340000000000001</v>
      </c>
      <c r="IS22" s="108">
        <v>1.3340000000000001</v>
      </c>
      <c r="IT22" s="108">
        <v>1.331</v>
      </c>
      <c r="IU22" s="108">
        <v>1.331</v>
      </c>
      <c r="IV22" s="108">
        <v>1.341</v>
      </c>
      <c r="IW22" s="108">
        <v>1.34</v>
      </c>
      <c r="IX22" s="108">
        <v>1.35</v>
      </c>
      <c r="IY22" s="108">
        <v>1.3460000000000001</v>
      </c>
      <c r="IZ22" s="108">
        <v>1.3480000000000001</v>
      </c>
      <c r="JA22" s="108">
        <v>1.3460000000000001</v>
      </c>
      <c r="JB22" s="108">
        <v>1.349</v>
      </c>
      <c r="JC22" s="108">
        <v>1.3480000000000001</v>
      </c>
      <c r="JD22" s="108">
        <v>1.347</v>
      </c>
      <c r="JE22" s="108">
        <v>1.347</v>
      </c>
      <c r="JF22" s="108">
        <v>1.347</v>
      </c>
      <c r="JG22" s="108">
        <v>1.347</v>
      </c>
      <c r="JH22" s="108">
        <v>1.343</v>
      </c>
      <c r="JI22" s="108">
        <v>1.3440000000000001</v>
      </c>
      <c r="JJ22" s="108">
        <v>1.3440000000000001</v>
      </c>
      <c r="JK22" s="108">
        <v>1.345</v>
      </c>
      <c r="JL22" s="108">
        <v>1.343</v>
      </c>
      <c r="JM22" s="108">
        <v>1.343</v>
      </c>
      <c r="JN22" s="108">
        <v>1.3420000000000001</v>
      </c>
      <c r="JO22" s="108">
        <v>1.3420000000000001</v>
      </c>
      <c r="JP22" s="108">
        <v>1.339</v>
      </c>
      <c r="JQ22" s="108">
        <v>1.339</v>
      </c>
      <c r="JR22" s="108">
        <v>1.337</v>
      </c>
      <c r="JS22" s="108">
        <v>1.3380000000000001</v>
      </c>
      <c r="JT22" s="108">
        <v>1.367</v>
      </c>
      <c r="JU22" s="108">
        <v>1.359</v>
      </c>
      <c r="JV22" s="108">
        <v>1.3620000000000001</v>
      </c>
      <c r="JW22" s="108">
        <v>1.3580000000000001</v>
      </c>
      <c r="JX22" s="108">
        <v>1.361</v>
      </c>
      <c r="JY22" s="108">
        <v>1.359</v>
      </c>
      <c r="JZ22" s="108">
        <v>1.3620000000000001</v>
      </c>
      <c r="KA22" s="108">
        <v>1.361</v>
      </c>
      <c r="KB22" s="108">
        <v>1.361</v>
      </c>
      <c r="KC22" s="108">
        <v>1.36</v>
      </c>
      <c r="KD22" s="108">
        <v>1.361</v>
      </c>
      <c r="KE22" s="108">
        <v>1.359</v>
      </c>
      <c r="KF22" s="108">
        <v>1.359</v>
      </c>
      <c r="KG22" s="108">
        <v>1.357</v>
      </c>
      <c r="KH22" s="108">
        <v>1.359</v>
      </c>
      <c r="KI22" s="108">
        <v>1.3580000000000001</v>
      </c>
      <c r="KJ22" s="108">
        <v>1.38</v>
      </c>
      <c r="KK22" s="108">
        <v>1.371</v>
      </c>
      <c r="KL22" s="108">
        <v>1.3740000000000001</v>
      </c>
      <c r="KM22" s="108">
        <v>1.369</v>
      </c>
      <c r="KN22" s="108">
        <v>1.375</v>
      </c>
      <c r="KO22" s="108">
        <v>1.3680000000000001</v>
      </c>
      <c r="KP22" s="108">
        <v>1.37</v>
      </c>
      <c r="KQ22" s="108">
        <v>1.3660000000000001</v>
      </c>
      <c r="BXV22" s="109">
        <v>1</v>
      </c>
      <c r="BXW22" s="108" t="s">
        <v>155</v>
      </c>
      <c r="BXX22" s="108" t="s">
        <v>154</v>
      </c>
      <c r="BYA22" s="103">
        <v>0</v>
      </c>
      <c r="BYX22" s="108">
        <v>1</v>
      </c>
      <c r="BYY22" s="108">
        <v>2</v>
      </c>
      <c r="CAM22" s="108">
        <v>1</v>
      </c>
      <c r="CAN22" s="108">
        <v>2</v>
      </c>
      <c r="CAO22" s="108">
        <v>0.105</v>
      </c>
      <c r="CAP22" s="108">
        <v>0.01</v>
      </c>
      <c r="CAQ22" s="108">
        <v>0.09</v>
      </c>
    </row>
    <row r="23" spans="1:543 1998:2030 2067:2086">
      <c r="A23" s="106" t="s">
        <v>456</v>
      </c>
      <c r="B23" s="106">
        <v>7</v>
      </c>
      <c r="C23" s="106">
        <v>1</v>
      </c>
      <c r="D23" s="106">
        <v>4</v>
      </c>
      <c r="E23" s="106">
        <v>12</v>
      </c>
      <c r="F23" s="106" t="s">
        <v>424</v>
      </c>
      <c r="GY23" s="95" t="s">
        <v>457</v>
      </c>
      <c r="GZ23" s="108">
        <v>0.16800000000000001</v>
      </c>
      <c r="HA23" s="108">
        <v>0.16500000000000001</v>
      </c>
      <c r="HB23" s="108">
        <v>0.16600000000000001</v>
      </c>
      <c r="HC23" s="108">
        <v>0.16500000000000001</v>
      </c>
      <c r="HD23" s="108">
        <v>0.16800000000000001</v>
      </c>
      <c r="HE23" s="108">
        <v>0.16800000000000001</v>
      </c>
      <c r="HF23" s="108">
        <v>0.16600000000000001</v>
      </c>
      <c r="HG23" s="108">
        <v>0.16400000000000001</v>
      </c>
      <c r="HH23" s="108">
        <v>0.16500000000000001</v>
      </c>
      <c r="HI23" s="108">
        <v>0.16600000000000001</v>
      </c>
      <c r="HJ23" s="108">
        <v>0.16600000000000001</v>
      </c>
      <c r="HK23" s="108">
        <v>0.16700000000000001</v>
      </c>
      <c r="HL23" s="108">
        <v>0.16500000000000001</v>
      </c>
      <c r="HM23" s="108">
        <v>0.16600000000000001</v>
      </c>
      <c r="HN23" s="108">
        <v>0.16</v>
      </c>
      <c r="HO23" s="108">
        <v>0.16200000000000001</v>
      </c>
      <c r="HP23" s="108">
        <v>0.16200000000000001</v>
      </c>
      <c r="HQ23" s="108">
        <v>0.16400000000000001</v>
      </c>
      <c r="HR23" s="108">
        <v>0.16600000000000001</v>
      </c>
      <c r="HS23" s="108">
        <v>0.16400000000000001</v>
      </c>
      <c r="HT23" s="108">
        <v>0.16400000000000001</v>
      </c>
      <c r="HU23" s="108">
        <v>0.16300000000000001</v>
      </c>
      <c r="HV23" s="108">
        <v>0.16200000000000001</v>
      </c>
      <c r="HW23" s="108">
        <v>0.16400000000000001</v>
      </c>
      <c r="HX23" s="108">
        <v>0.16400000000000001</v>
      </c>
      <c r="HY23" s="108">
        <v>0.16300000000000001</v>
      </c>
      <c r="HZ23" s="108">
        <v>0.16300000000000001</v>
      </c>
      <c r="IA23" s="108">
        <v>0.16300000000000001</v>
      </c>
      <c r="IB23" s="108">
        <v>0.16</v>
      </c>
      <c r="IC23" s="108">
        <v>0.159</v>
      </c>
      <c r="ID23" s="108">
        <v>0.16</v>
      </c>
      <c r="IE23" s="108">
        <v>0.16</v>
      </c>
      <c r="IF23" s="108">
        <v>0.16</v>
      </c>
      <c r="IG23" s="108">
        <v>0.161</v>
      </c>
      <c r="IH23" s="108">
        <v>0.16200000000000001</v>
      </c>
      <c r="II23" s="108">
        <v>0.156</v>
      </c>
      <c r="IJ23" s="108">
        <v>0.155</v>
      </c>
      <c r="IK23" s="108">
        <v>0.156</v>
      </c>
      <c r="IL23" s="108">
        <v>0.157</v>
      </c>
      <c r="IM23" s="108">
        <v>0.158</v>
      </c>
      <c r="IN23" s="108">
        <v>0.158</v>
      </c>
      <c r="IO23" s="108">
        <v>0.158</v>
      </c>
      <c r="IP23" s="108">
        <v>0.151</v>
      </c>
      <c r="IQ23" s="108">
        <v>0.152</v>
      </c>
      <c r="IR23" s="108">
        <v>0.152</v>
      </c>
      <c r="IS23" s="108">
        <v>0.152</v>
      </c>
      <c r="IT23" s="108">
        <v>0.153</v>
      </c>
      <c r="IU23" s="108">
        <v>0.154</v>
      </c>
      <c r="IV23" s="108">
        <v>0.153</v>
      </c>
      <c r="IW23" s="108">
        <v>0.151</v>
      </c>
      <c r="IX23" s="108">
        <v>0.14899999999999999</v>
      </c>
      <c r="IY23" s="108">
        <v>0.15</v>
      </c>
      <c r="IZ23" s="108">
        <v>0.15</v>
      </c>
      <c r="JA23" s="108">
        <v>0.151</v>
      </c>
      <c r="JB23" s="108">
        <v>0.151</v>
      </c>
      <c r="JC23" s="108">
        <v>0.151</v>
      </c>
      <c r="JD23" s="108">
        <v>0.14799999999999999</v>
      </c>
      <c r="JE23" s="108">
        <v>0.14599999999999999</v>
      </c>
      <c r="JF23" s="108">
        <v>0.14699999999999999</v>
      </c>
      <c r="JG23" s="108">
        <v>0.14699999999999999</v>
      </c>
      <c r="JH23" s="108">
        <v>0.14799999999999999</v>
      </c>
      <c r="JI23" s="108">
        <v>0.14799999999999999</v>
      </c>
      <c r="JJ23" s="108">
        <v>0.14899999999999999</v>
      </c>
      <c r="JK23" s="108">
        <v>0.14299999999999999</v>
      </c>
      <c r="JL23" s="108">
        <v>0.14199999999999999</v>
      </c>
      <c r="JM23" s="108">
        <v>0.14199999999999999</v>
      </c>
      <c r="JN23" s="108">
        <v>0.14299999999999999</v>
      </c>
      <c r="JO23" s="108">
        <v>0.14399999999999999</v>
      </c>
      <c r="JP23" s="108">
        <v>0.14399999999999999</v>
      </c>
      <c r="JQ23" s="108">
        <v>0.14399999999999999</v>
      </c>
      <c r="JR23" s="108">
        <v>0.13600000000000001</v>
      </c>
      <c r="JS23" s="108">
        <v>0.13600000000000001</v>
      </c>
      <c r="JT23" s="108">
        <v>0.13600000000000001</v>
      </c>
      <c r="JU23" s="108">
        <v>0.13700000000000001</v>
      </c>
      <c r="JV23" s="108">
        <v>0.13800000000000001</v>
      </c>
      <c r="JW23" s="108">
        <v>0.13900000000000001</v>
      </c>
      <c r="JX23" s="108">
        <v>0.13900000000000001</v>
      </c>
      <c r="JY23" s="108">
        <v>0.13400000000000001</v>
      </c>
      <c r="JZ23" s="108">
        <v>0.13400000000000001</v>
      </c>
      <c r="KA23" s="108">
        <v>0.13500000000000001</v>
      </c>
      <c r="KB23" s="108">
        <v>0.13500000000000001</v>
      </c>
      <c r="KC23" s="108">
        <v>0.13600000000000001</v>
      </c>
      <c r="KD23" s="108">
        <v>0.13700000000000001</v>
      </c>
      <c r="KE23" s="108">
        <v>0.13600000000000001</v>
      </c>
      <c r="KF23" s="108">
        <v>0.14299999999999999</v>
      </c>
      <c r="KG23" s="108">
        <v>0.14299999999999999</v>
      </c>
      <c r="KH23" s="108">
        <v>0.14399999999999999</v>
      </c>
      <c r="KI23" s="108">
        <v>0.14299999999999999</v>
      </c>
      <c r="KJ23" s="108">
        <v>0.14599999999999999</v>
      </c>
      <c r="KK23" s="108">
        <v>0.14599999999999999</v>
      </c>
      <c r="KL23" s="108">
        <v>0.14599999999999999</v>
      </c>
      <c r="KM23" s="108">
        <v>0.14599999999999999</v>
      </c>
      <c r="KN23" s="108">
        <v>0.14599999999999999</v>
      </c>
      <c r="KO23" s="108">
        <v>0.14699999999999999</v>
      </c>
      <c r="KP23" s="108">
        <v>0.14699999999999999</v>
      </c>
      <c r="KQ23" s="108">
        <v>0.14699999999999999</v>
      </c>
      <c r="KR23" s="108">
        <v>0.15</v>
      </c>
      <c r="KS23" s="108">
        <v>0.154</v>
      </c>
      <c r="KT23" s="108">
        <v>0.14399999999999999</v>
      </c>
      <c r="KU23" s="108">
        <v>0.14399999999999999</v>
      </c>
      <c r="KV23" s="108">
        <v>0.14599999999999999</v>
      </c>
      <c r="KW23" s="108">
        <v>0.14499999999999999</v>
      </c>
      <c r="KX23" s="108">
        <v>0.14699999999999999</v>
      </c>
      <c r="KY23" s="108">
        <v>0.14899999999999999</v>
      </c>
      <c r="KZ23" s="108">
        <v>0.151</v>
      </c>
      <c r="LA23" s="108">
        <v>0.14799999999999999</v>
      </c>
      <c r="LB23" s="108">
        <v>0.14799999999999999</v>
      </c>
      <c r="LC23" s="108">
        <v>0.14599999999999999</v>
      </c>
      <c r="LD23" s="108">
        <v>0.14699999999999999</v>
      </c>
      <c r="LE23" s="108">
        <v>0.14899999999999999</v>
      </c>
      <c r="LF23" s="108">
        <v>0.15</v>
      </c>
      <c r="LG23" s="108">
        <v>0.14899999999999999</v>
      </c>
      <c r="LH23" s="108">
        <v>0.14499999999999999</v>
      </c>
      <c r="LI23" s="108">
        <v>0.14599999999999999</v>
      </c>
      <c r="LJ23" s="108">
        <v>0.14599999999999999</v>
      </c>
      <c r="LK23" s="108">
        <v>0.14499999999999999</v>
      </c>
      <c r="LL23" s="108">
        <v>0.14599999999999999</v>
      </c>
      <c r="LM23" s="108">
        <v>0.14699999999999999</v>
      </c>
      <c r="LN23" s="108">
        <v>0.14799999999999999</v>
      </c>
      <c r="LO23" s="108">
        <v>0.14399999999999999</v>
      </c>
      <c r="LP23" s="108">
        <v>0.14299999999999999</v>
      </c>
      <c r="LQ23" s="108">
        <v>0.14199999999999999</v>
      </c>
      <c r="LR23" s="108">
        <v>0.14099999999999999</v>
      </c>
      <c r="LS23" s="108">
        <v>0.14399999999999999</v>
      </c>
      <c r="LT23" s="108">
        <v>0.14499999999999999</v>
      </c>
      <c r="LU23" s="108">
        <v>0.14499999999999999</v>
      </c>
      <c r="LV23" s="108">
        <v>0.13700000000000001</v>
      </c>
      <c r="LW23" s="108">
        <v>0.13800000000000001</v>
      </c>
      <c r="LX23" s="108">
        <v>0.13800000000000001</v>
      </c>
      <c r="LY23" s="108">
        <v>0.13800000000000001</v>
      </c>
      <c r="LZ23" s="108">
        <v>0.14000000000000001</v>
      </c>
      <c r="MA23" s="108">
        <v>0.14099999999999999</v>
      </c>
      <c r="MB23" s="108">
        <v>0.14099999999999999</v>
      </c>
      <c r="MC23" s="108">
        <v>0.13700000000000001</v>
      </c>
      <c r="MD23" s="108">
        <v>0.13700000000000001</v>
      </c>
      <c r="ME23" s="108">
        <v>0.13600000000000001</v>
      </c>
      <c r="MF23" s="108">
        <v>0.13600000000000001</v>
      </c>
      <c r="MG23" s="108">
        <v>0.13800000000000001</v>
      </c>
      <c r="MH23" s="108">
        <v>0.13900000000000001</v>
      </c>
      <c r="MI23" s="108">
        <v>0.14000000000000001</v>
      </c>
      <c r="MJ23" s="108">
        <v>0.13400000000000001</v>
      </c>
      <c r="MK23" s="108">
        <v>0.13300000000000001</v>
      </c>
      <c r="ML23" s="108">
        <v>0.13400000000000001</v>
      </c>
      <c r="MM23" s="108">
        <v>0.13400000000000001</v>
      </c>
      <c r="MN23" s="108">
        <v>0.13500000000000001</v>
      </c>
      <c r="MO23" s="108">
        <v>0.13600000000000001</v>
      </c>
      <c r="MP23" s="108">
        <v>0.13500000000000001</v>
      </c>
      <c r="MQ23" s="108">
        <v>0.128</v>
      </c>
      <c r="MR23" s="108">
        <v>0.128</v>
      </c>
      <c r="MS23" s="108">
        <v>0.129</v>
      </c>
      <c r="MT23" s="108">
        <v>0.13</v>
      </c>
      <c r="MU23" s="108">
        <v>0.13200000000000001</v>
      </c>
      <c r="MV23" s="108">
        <v>0.13200000000000001</v>
      </c>
      <c r="MW23" s="108">
        <v>0.13200000000000001</v>
      </c>
      <c r="MX23" s="108">
        <v>0.125</v>
      </c>
      <c r="MY23" s="108">
        <v>0.124</v>
      </c>
      <c r="MZ23" s="108">
        <v>0.126</v>
      </c>
      <c r="NA23" s="108">
        <v>0.123</v>
      </c>
      <c r="NB23" s="108">
        <v>0.127</v>
      </c>
      <c r="NC23" s="108">
        <v>0.128</v>
      </c>
      <c r="ND23" s="108">
        <v>0.128</v>
      </c>
      <c r="NE23" s="108">
        <v>0.123</v>
      </c>
      <c r="NF23" s="108">
        <v>0.122</v>
      </c>
      <c r="NG23" s="108">
        <v>0.123</v>
      </c>
      <c r="NH23" s="108">
        <v>0.122</v>
      </c>
      <c r="NI23" s="108">
        <v>0.125</v>
      </c>
      <c r="NJ23" s="108">
        <v>0.125</v>
      </c>
      <c r="NK23" s="108">
        <v>0.124</v>
      </c>
      <c r="NL23" s="108">
        <v>0.14299999999999999</v>
      </c>
      <c r="NM23" s="108">
        <v>0.14299999999999999</v>
      </c>
      <c r="NN23" s="108">
        <v>0.14199999999999999</v>
      </c>
      <c r="NO23" s="108">
        <v>0.14199999999999999</v>
      </c>
      <c r="NP23" s="108">
        <v>0.14399999999999999</v>
      </c>
      <c r="NQ23" s="108">
        <v>0.14399999999999999</v>
      </c>
      <c r="NR23" s="108">
        <v>0.14499999999999999</v>
      </c>
      <c r="NS23" s="108">
        <v>0.14499999999999999</v>
      </c>
      <c r="NT23" s="108">
        <v>0.14499999999999999</v>
      </c>
      <c r="NU23" s="108">
        <v>0.14399999999999999</v>
      </c>
      <c r="NV23" s="108">
        <v>0.14399999999999999</v>
      </c>
      <c r="NW23" s="108">
        <v>0.14499999999999999</v>
      </c>
      <c r="NX23" s="108">
        <v>0.14799999999999999</v>
      </c>
      <c r="NY23" s="108">
        <v>0.14699999999999999</v>
      </c>
      <c r="NZ23" s="108">
        <v>0.14399999999999999</v>
      </c>
      <c r="OA23" s="108">
        <v>0.14499999999999999</v>
      </c>
      <c r="OB23" s="108">
        <v>0.14299999999999999</v>
      </c>
      <c r="OC23" s="108">
        <v>0.14199999999999999</v>
      </c>
      <c r="OD23" s="108">
        <v>0.14499999999999999</v>
      </c>
      <c r="OE23" s="108">
        <v>0.14699999999999999</v>
      </c>
      <c r="OF23" s="108">
        <v>0.14599999999999999</v>
      </c>
      <c r="OG23" s="108">
        <v>0.14399999999999999</v>
      </c>
      <c r="OH23" s="108">
        <v>0.14399999999999999</v>
      </c>
      <c r="OI23" s="108">
        <v>0.14299999999999999</v>
      </c>
      <c r="OJ23" s="108">
        <v>0.14299999999999999</v>
      </c>
      <c r="OK23" s="108">
        <v>0.14499999999999999</v>
      </c>
      <c r="OL23" s="108">
        <v>0.14699999999999999</v>
      </c>
      <c r="OM23" s="108">
        <v>0.14599999999999999</v>
      </c>
      <c r="ON23" s="108">
        <v>0.14299999999999999</v>
      </c>
      <c r="OO23" s="108">
        <v>0.14299999999999999</v>
      </c>
      <c r="OP23" s="108">
        <v>0.14199999999999999</v>
      </c>
      <c r="OQ23" s="108">
        <v>0.14199999999999999</v>
      </c>
      <c r="OR23" s="108">
        <v>0.14399999999999999</v>
      </c>
      <c r="OS23" s="108">
        <v>0.14599999999999999</v>
      </c>
      <c r="OT23" s="108">
        <v>0.14599999999999999</v>
      </c>
      <c r="OU23" s="108">
        <v>0.14299999999999999</v>
      </c>
      <c r="OV23" s="108">
        <v>0.14299999999999999</v>
      </c>
      <c r="OW23" s="108">
        <v>0.14099999999999999</v>
      </c>
      <c r="OX23" s="108">
        <v>0.14099999999999999</v>
      </c>
      <c r="OY23" s="108">
        <v>0.14299999999999999</v>
      </c>
      <c r="OZ23" s="108">
        <v>0.14499999999999999</v>
      </c>
      <c r="PA23" s="108">
        <v>0.14399999999999999</v>
      </c>
      <c r="PB23" s="108">
        <v>0.13900000000000001</v>
      </c>
      <c r="PC23" s="108">
        <v>0.14099999999999999</v>
      </c>
      <c r="PD23" s="108">
        <v>0.13900000000000001</v>
      </c>
      <c r="PE23" s="108">
        <v>0.14000000000000001</v>
      </c>
      <c r="PF23" s="108">
        <v>0.14099999999999999</v>
      </c>
      <c r="PG23" s="108">
        <v>0.14299999999999999</v>
      </c>
      <c r="PH23" s="108">
        <v>0.14299999999999999</v>
      </c>
      <c r="PI23" s="108">
        <v>0.13900000000000001</v>
      </c>
      <c r="PJ23" s="108">
        <v>0.13800000000000001</v>
      </c>
      <c r="PK23" s="108">
        <v>0.13700000000000001</v>
      </c>
      <c r="PL23" s="108">
        <v>0.13700000000000001</v>
      </c>
      <c r="PM23" s="108">
        <v>0.13900000000000001</v>
      </c>
      <c r="PN23" s="108">
        <v>0.14099999999999999</v>
      </c>
      <c r="PO23" s="108">
        <v>0.14000000000000001</v>
      </c>
      <c r="PP23" s="108">
        <v>0.13700000000000001</v>
      </c>
      <c r="PQ23" s="108">
        <v>0.13700000000000001</v>
      </c>
      <c r="PR23" s="108">
        <v>0.13500000000000001</v>
      </c>
      <c r="PS23" s="108">
        <v>0.13600000000000001</v>
      </c>
      <c r="PT23" s="108">
        <v>0.13700000000000001</v>
      </c>
      <c r="PU23" s="108">
        <v>0.13900000000000001</v>
      </c>
      <c r="PV23" s="108">
        <v>0.13800000000000001</v>
      </c>
      <c r="PW23" s="108">
        <v>0.13600000000000001</v>
      </c>
      <c r="PX23" s="108">
        <v>0.13500000000000001</v>
      </c>
      <c r="PY23" s="108">
        <v>0.13200000000000001</v>
      </c>
      <c r="PZ23" s="108">
        <v>0.13300000000000001</v>
      </c>
      <c r="QA23" s="108">
        <v>0.13500000000000001</v>
      </c>
      <c r="QB23" s="108">
        <v>0.13700000000000001</v>
      </c>
      <c r="QC23" s="108">
        <v>0.13700000000000001</v>
      </c>
      <c r="QD23" s="108">
        <v>0.13100000000000001</v>
      </c>
      <c r="QE23" s="108">
        <v>0.13100000000000001</v>
      </c>
      <c r="QF23" s="108">
        <v>0.129</v>
      </c>
      <c r="QG23" s="108">
        <v>0.13</v>
      </c>
      <c r="QH23" s="108">
        <v>0.13100000000000001</v>
      </c>
      <c r="QI23" s="108">
        <v>0.13100000000000001</v>
      </c>
      <c r="QJ23" s="108">
        <v>0.13200000000000001</v>
      </c>
      <c r="QK23" s="108">
        <v>0.129</v>
      </c>
      <c r="QL23" s="108">
        <v>0.129</v>
      </c>
      <c r="QM23" s="108">
        <v>0.127</v>
      </c>
      <c r="QN23" s="108">
        <v>0.127</v>
      </c>
      <c r="QO23" s="108">
        <v>0.127</v>
      </c>
      <c r="QP23" s="108">
        <v>0.129</v>
      </c>
      <c r="QQ23" s="108">
        <v>0.129</v>
      </c>
      <c r="QR23" s="108">
        <v>0.161</v>
      </c>
      <c r="QS23" s="108">
        <v>0.17299999999999999</v>
      </c>
      <c r="QT23" s="108">
        <v>0.16800000000000001</v>
      </c>
      <c r="QU23" s="108">
        <v>0.159</v>
      </c>
      <c r="QV23" s="108">
        <v>0.157</v>
      </c>
      <c r="QW23" s="108">
        <v>0.156</v>
      </c>
      <c r="QX23" s="108">
        <v>0.154</v>
      </c>
      <c r="QY23" s="108">
        <v>0.16200000000000001</v>
      </c>
      <c r="QZ23" s="108">
        <v>0.161</v>
      </c>
      <c r="RA23" s="108">
        <v>0.158</v>
      </c>
      <c r="RB23" s="108">
        <v>0.157</v>
      </c>
      <c r="RC23" s="108">
        <v>0.156</v>
      </c>
      <c r="RD23" s="108">
        <v>0.158</v>
      </c>
      <c r="RE23" s="108">
        <v>0.154</v>
      </c>
      <c r="RF23" s="108">
        <v>0.16</v>
      </c>
      <c r="RG23" s="108">
        <v>0.158</v>
      </c>
      <c r="RH23" s="108">
        <v>0.155</v>
      </c>
      <c r="RI23" s="108">
        <v>0.156</v>
      </c>
      <c r="RJ23" s="108">
        <v>0.155</v>
      </c>
      <c r="RK23" s="108">
        <v>0.156</v>
      </c>
      <c r="RL23" s="108">
        <v>0.152</v>
      </c>
      <c r="RM23" s="108">
        <v>0.159</v>
      </c>
      <c r="RN23" s="108">
        <v>0.159</v>
      </c>
      <c r="RO23" s="108">
        <v>0.156</v>
      </c>
      <c r="RP23" s="108">
        <v>0.156</v>
      </c>
      <c r="RQ23" s="108">
        <v>0.155</v>
      </c>
      <c r="RR23" s="108">
        <v>0.156</v>
      </c>
      <c r="RS23" s="108">
        <v>0.153</v>
      </c>
      <c r="RT23" s="108">
        <v>0.159</v>
      </c>
      <c r="RU23" s="108">
        <v>0.158</v>
      </c>
      <c r="RV23" s="108">
        <v>0.155</v>
      </c>
      <c r="RW23" s="108">
        <v>0.155</v>
      </c>
      <c r="RX23" s="108">
        <v>0.154</v>
      </c>
      <c r="RY23" s="108">
        <v>0.154</v>
      </c>
      <c r="RZ23" s="108">
        <v>0.152</v>
      </c>
      <c r="SA23" s="108">
        <v>0.157</v>
      </c>
      <c r="SB23" s="108">
        <v>0.156</v>
      </c>
      <c r="SC23" s="108">
        <v>0.153</v>
      </c>
      <c r="SD23" s="108">
        <v>0.152</v>
      </c>
      <c r="SE23" s="108">
        <v>0.153</v>
      </c>
      <c r="SF23" s="108">
        <v>0.153</v>
      </c>
      <c r="SG23" s="108">
        <v>0.14899999999999999</v>
      </c>
      <c r="SH23" s="108">
        <v>0.156</v>
      </c>
      <c r="SI23" s="108">
        <v>0.155</v>
      </c>
      <c r="SJ23" s="108">
        <v>0.151</v>
      </c>
      <c r="SK23" s="108">
        <v>0.15</v>
      </c>
      <c r="SL23" s="108">
        <v>0.151</v>
      </c>
      <c r="SM23" s="108">
        <v>0.152</v>
      </c>
      <c r="SN23" s="108">
        <v>0.14799999999999999</v>
      </c>
      <c r="SO23" s="108">
        <v>0.155</v>
      </c>
      <c r="SP23" s="108">
        <v>0.153</v>
      </c>
      <c r="SQ23" s="108">
        <v>0.15</v>
      </c>
      <c r="SR23" s="108">
        <v>0.151</v>
      </c>
      <c r="SS23" s="108">
        <v>0.14899999999999999</v>
      </c>
      <c r="ST23" s="108">
        <v>0.15</v>
      </c>
      <c r="SU23" s="108">
        <v>0.14599999999999999</v>
      </c>
      <c r="SV23" s="108">
        <v>0.154</v>
      </c>
      <c r="SW23" s="108">
        <v>0.152</v>
      </c>
      <c r="SX23" s="108">
        <v>0.14799999999999999</v>
      </c>
      <c r="SY23" s="108">
        <v>0.15</v>
      </c>
      <c r="SZ23" s="108">
        <v>0.14899999999999999</v>
      </c>
      <c r="TA23" s="108">
        <v>0.151</v>
      </c>
      <c r="TB23" s="108">
        <v>0.14699999999999999</v>
      </c>
      <c r="TC23" s="108">
        <v>0.153</v>
      </c>
      <c r="TD23" s="108">
        <v>0.152</v>
      </c>
      <c r="TE23" s="108">
        <v>0.14799999999999999</v>
      </c>
      <c r="TF23" s="108">
        <v>0.14699999999999999</v>
      </c>
      <c r="TG23" s="108">
        <v>0.14699999999999999</v>
      </c>
      <c r="TH23" s="108">
        <v>0.14799999999999999</v>
      </c>
      <c r="TI23" s="108">
        <v>0.14399999999999999</v>
      </c>
      <c r="TJ23" s="108">
        <v>0.152</v>
      </c>
      <c r="TK23" s="108">
        <v>0.14899999999999999</v>
      </c>
      <c r="TL23" s="108">
        <v>0.14599999999999999</v>
      </c>
      <c r="TM23" s="108">
        <v>0.14399999999999999</v>
      </c>
      <c r="TN23" s="108">
        <v>0.14399999999999999</v>
      </c>
      <c r="TO23" s="108">
        <v>0.14499999999999999</v>
      </c>
      <c r="TP23" s="108">
        <v>0.14299999999999999</v>
      </c>
      <c r="TQ23" s="108">
        <v>0.151</v>
      </c>
      <c r="TR23" s="108">
        <v>0.14899999999999999</v>
      </c>
      <c r="TS23" s="108">
        <v>0.14499999999999999</v>
      </c>
      <c r="TT23" s="108">
        <v>0.14499999999999999</v>
      </c>
      <c r="TU23" s="108">
        <v>0.14399999999999999</v>
      </c>
      <c r="TV23" s="108">
        <v>0.14499999999999999</v>
      </c>
      <c r="TW23" s="108">
        <v>0.14099999999999999</v>
      </c>
      <c r="BXV23" s="109">
        <v>1</v>
      </c>
      <c r="BXW23" s="108" t="s">
        <v>155</v>
      </c>
      <c r="BXX23" s="108" t="s">
        <v>154</v>
      </c>
      <c r="BYA23" s="103">
        <v>0</v>
      </c>
      <c r="BYX23" s="108">
        <v>1</v>
      </c>
      <c r="BYY23" s="108">
        <v>7</v>
      </c>
      <c r="CAM23" s="108">
        <v>1</v>
      </c>
      <c r="CAN23" s="108">
        <v>7</v>
      </c>
      <c r="CAO23" s="108">
        <v>0.105</v>
      </c>
      <c r="CAP23" s="108">
        <v>0.01</v>
      </c>
      <c r="CAQ23" s="108">
        <v>0.09</v>
      </c>
    </row>
    <row r="24" spans="1:543 1998:2030 2067:2086">
      <c r="A24" s="106" t="s">
        <v>458</v>
      </c>
      <c r="B24" s="106">
        <v>1</v>
      </c>
      <c r="C24" s="106">
        <v>2</v>
      </c>
      <c r="D24" s="106">
        <v>9</v>
      </c>
      <c r="E24" s="106">
        <v>4</v>
      </c>
      <c r="F24" s="106" t="s">
        <v>447</v>
      </c>
      <c r="GY24" s="95" t="s">
        <v>459</v>
      </c>
      <c r="GZ24" s="108">
        <v>0.28799999999999998</v>
      </c>
      <c r="HA24" s="108">
        <v>0.28299999999999997</v>
      </c>
      <c r="HB24" s="108">
        <v>0.28599999999999998</v>
      </c>
      <c r="HC24" s="108">
        <v>0.29599999999999999</v>
      </c>
      <c r="HD24" s="108">
        <v>0.29299999999999998</v>
      </c>
      <c r="HE24" s="108">
        <v>0.29599999999999999</v>
      </c>
      <c r="HF24" s="108">
        <v>0.29599999999999999</v>
      </c>
      <c r="HG24" s="108">
        <v>0.29399999999999998</v>
      </c>
      <c r="HH24" s="108">
        <v>0.28899999999999998</v>
      </c>
      <c r="HI24" s="108">
        <v>0.28899999999999998</v>
      </c>
      <c r="HJ24" s="108">
        <v>0.28499999999999998</v>
      </c>
      <c r="HK24" s="108">
        <v>0.28899999999999998</v>
      </c>
      <c r="HL24" s="108">
        <v>0.29799999999999999</v>
      </c>
      <c r="HM24" s="108">
        <v>0.29699999999999999</v>
      </c>
      <c r="HN24" s="108">
        <v>0.30299999999999999</v>
      </c>
      <c r="HO24" s="108">
        <v>0.30199999999999999</v>
      </c>
      <c r="HP24" s="108">
        <v>0.29799999999999999</v>
      </c>
      <c r="HQ24" s="108">
        <v>0.29399999999999998</v>
      </c>
      <c r="HR24" s="108">
        <v>0.29199999999999998</v>
      </c>
      <c r="HS24" s="108">
        <v>0.28699999999999998</v>
      </c>
      <c r="HT24" s="108">
        <v>0.29199999999999998</v>
      </c>
      <c r="HU24" s="108">
        <v>0.30499999999999999</v>
      </c>
      <c r="HV24" s="108">
        <v>0.30199999999999999</v>
      </c>
      <c r="HW24" s="108">
        <v>0.30599999999999999</v>
      </c>
      <c r="HX24" s="108">
        <v>0.30599999999999999</v>
      </c>
      <c r="HY24" s="108">
        <v>0.30299999999999999</v>
      </c>
      <c r="HZ24" s="108">
        <v>0.29599999999999999</v>
      </c>
      <c r="IA24" s="108">
        <v>0.29199999999999998</v>
      </c>
      <c r="IB24" s="108">
        <v>0.28599999999999998</v>
      </c>
      <c r="IC24" s="108">
        <v>0.29299999999999998</v>
      </c>
      <c r="ID24" s="108">
        <v>0.30499999999999999</v>
      </c>
      <c r="IE24" s="108">
        <v>0.30299999999999999</v>
      </c>
      <c r="IF24" s="108">
        <v>0.307</v>
      </c>
      <c r="IG24" s="108">
        <v>0.309</v>
      </c>
      <c r="IH24" s="108">
        <v>0.30499999999999999</v>
      </c>
      <c r="II24" s="108">
        <v>0.30199999999999999</v>
      </c>
      <c r="BXV24" s="109">
        <v>1</v>
      </c>
      <c r="BXW24" s="108" t="s">
        <v>155</v>
      </c>
      <c r="BXX24" s="108" t="s">
        <v>154</v>
      </c>
      <c r="BYA24" s="103">
        <v>0</v>
      </c>
      <c r="BYD24" s="103">
        <v>0</v>
      </c>
      <c r="BYX24" s="108">
        <v>1</v>
      </c>
      <c r="BYY24" s="108">
        <v>1</v>
      </c>
      <c r="CAM24" s="108">
        <v>1</v>
      </c>
      <c r="CAN24" s="108">
        <v>1</v>
      </c>
      <c r="CAO24" s="108">
        <v>0</v>
      </c>
      <c r="CAP24" s="108">
        <v>0.01</v>
      </c>
      <c r="CAQ24" s="108">
        <v>0.23</v>
      </c>
    </row>
    <row r="25" spans="1:543 1998:2030 2067:2086">
      <c r="A25" s="106" t="s">
        <v>460</v>
      </c>
      <c r="B25" s="106">
        <v>2</v>
      </c>
      <c r="C25" s="106">
        <v>2</v>
      </c>
      <c r="D25" s="106">
        <v>5</v>
      </c>
      <c r="E25" s="106">
        <v>2</v>
      </c>
      <c r="F25" s="106" t="s">
        <v>447</v>
      </c>
      <c r="GY25" s="95" t="s">
        <v>459</v>
      </c>
      <c r="GZ25" s="108">
        <v>0.22700000000000001</v>
      </c>
      <c r="HA25" s="108">
        <v>0.23599999999999999</v>
      </c>
      <c r="HB25" s="108">
        <v>0.22700000000000001</v>
      </c>
      <c r="HC25" s="108">
        <v>0.22900000000000001</v>
      </c>
      <c r="HD25" s="108">
        <v>0.23400000000000001</v>
      </c>
      <c r="HE25" s="108">
        <v>0.24</v>
      </c>
      <c r="HF25" s="108">
        <v>0.23100000000000001</v>
      </c>
      <c r="HG25" s="108">
        <v>0.23899999999999999</v>
      </c>
      <c r="HH25" s="108">
        <v>0.22800000000000001</v>
      </c>
      <c r="HI25" s="108">
        <v>0.23899999999999999</v>
      </c>
      <c r="HJ25" s="108">
        <v>0.23300000000000001</v>
      </c>
      <c r="HK25" s="108">
        <v>0.23200000000000001</v>
      </c>
      <c r="HL25" s="108">
        <v>0.22700000000000001</v>
      </c>
      <c r="HM25" s="108">
        <v>0.22800000000000001</v>
      </c>
      <c r="HN25" s="108">
        <v>0.24099999999999999</v>
      </c>
      <c r="HO25" s="108">
        <v>0.23799999999999999</v>
      </c>
      <c r="HP25" s="108">
        <v>0.24099999999999999</v>
      </c>
      <c r="HQ25" s="108">
        <v>0.24199999999999999</v>
      </c>
      <c r="HR25" s="108">
        <v>0.23599999999999999</v>
      </c>
      <c r="HS25" s="108">
        <v>0.24299999999999999</v>
      </c>
      <c r="BXV25" s="109">
        <v>1</v>
      </c>
      <c r="BXW25" s="108" t="s">
        <v>155</v>
      </c>
      <c r="BXX25" s="108" t="s">
        <v>154</v>
      </c>
      <c r="BYA25" s="103">
        <v>0</v>
      </c>
      <c r="BYD25" s="103">
        <v>0</v>
      </c>
      <c r="BYX25" s="108">
        <v>2</v>
      </c>
      <c r="BYY25" s="108">
        <v>1</v>
      </c>
      <c r="BYZ25" s="108">
        <v>1</v>
      </c>
      <c r="CAM25" s="108">
        <v>1</v>
      </c>
      <c r="CAN25" s="108">
        <v>1</v>
      </c>
      <c r="CAO25" s="108">
        <v>0</v>
      </c>
      <c r="CAP25" s="108">
        <v>0.01</v>
      </c>
      <c r="CAQ25" s="108">
        <v>0.28000000000000003</v>
      </c>
      <c r="CAR25" s="108">
        <v>2</v>
      </c>
      <c r="CAS25" s="108">
        <v>2</v>
      </c>
      <c r="CAT25" s="108">
        <v>0</v>
      </c>
      <c r="CAU25" s="108">
        <v>0.01</v>
      </c>
      <c r="CAV25" s="108">
        <v>0.28000000000000003</v>
      </c>
    </row>
    <row r="26" spans="1:543 1998:2030 2067:2086">
      <c r="A26" s="106" t="s">
        <v>461</v>
      </c>
      <c r="B26" s="106">
        <v>2</v>
      </c>
      <c r="C26" s="106">
        <v>1</v>
      </c>
      <c r="D26" s="106">
        <v>10</v>
      </c>
      <c r="E26" s="106">
        <v>12</v>
      </c>
      <c r="F26" s="106" t="s">
        <v>424</v>
      </c>
      <c r="GY26" s="95" t="s">
        <v>462</v>
      </c>
      <c r="GZ26" s="108">
        <v>0.25</v>
      </c>
      <c r="HA26" s="108">
        <v>0.24299999999999999</v>
      </c>
      <c r="HB26" s="108">
        <v>0.249</v>
      </c>
      <c r="HC26" s="108">
        <v>0.246</v>
      </c>
      <c r="HD26" s="108">
        <v>0.26200000000000001</v>
      </c>
      <c r="HE26" s="108">
        <v>0.251</v>
      </c>
      <c r="HF26" s="108">
        <v>0.25900000000000001</v>
      </c>
      <c r="HG26" s="108">
        <v>0.255</v>
      </c>
      <c r="HH26" s="108">
        <v>0.26900000000000002</v>
      </c>
      <c r="HI26" s="108">
        <v>0.26500000000000001</v>
      </c>
      <c r="HJ26" s="108">
        <v>0.27300000000000002</v>
      </c>
      <c r="HK26" s="108">
        <v>0.27500000000000002</v>
      </c>
      <c r="HL26" s="108">
        <v>0.28000000000000003</v>
      </c>
      <c r="HM26" s="108">
        <v>0.27600000000000002</v>
      </c>
      <c r="HN26" s="108">
        <v>0.28100000000000003</v>
      </c>
      <c r="HO26" s="108">
        <v>0.28000000000000003</v>
      </c>
      <c r="HP26" s="108">
        <v>0.28899999999999998</v>
      </c>
      <c r="HQ26" s="108">
        <v>0.28499999999999998</v>
      </c>
      <c r="HR26" s="108">
        <v>0.29699999999999999</v>
      </c>
      <c r="HS26" s="108">
        <v>0.29199999999999998</v>
      </c>
      <c r="HT26" s="108">
        <v>0.23699999999999999</v>
      </c>
      <c r="HU26" s="108">
        <v>0.23200000000000001</v>
      </c>
      <c r="HV26" s="108">
        <v>0.24099999999999999</v>
      </c>
      <c r="HW26" s="108">
        <v>0.23599999999999999</v>
      </c>
      <c r="HX26" s="108">
        <v>0.246</v>
      </c>
      <c r="HY26" s="108">
        <v>0.24399999999999999</v>
      </c>
      <c r="HZ26" s="108">
        <v>0.254</v>
      </c>
      <c r="IA26" s="108">
        <v>0.248</v>
      </c>
      <c r="IB26" s="108">
        <v>0.26</v>
      </c>
      <c r="IC26" s="108">
        <v>0.255</v>
      </c>
      <c r="ID26" s="108">
        <v>0.26600000000000001</v>
      </c>
      <c r="IE26" s="108">
        <v>0.26200000000000001</v>
      </c>
      <c r="IF26" s="108">
        <v>0.27300000000000002</v>
      </c>
      <c r="IG26" s="108">
        <v>0.26800000000000002</v>
      </c>
      <c r="IH26" s="108">
        <v>0.27500000000000002</v>
      </c>
      <c r="II26" s="108">
        <v>0.27300000000000002</v>
      </c>
      <c r="IJ26" s="108">
        <v>0.28199999999999997</v>
      </c>
      <c r="IK26" s="108">
        <v>0.27700000000000002</v>
      </c>
      <c r="IL26" s="108">
        <v>0.28799999999999998</v>
      </c>
      <c r="IM26" s="108">
        <v>0.28499999999999998</v>
      </c>
      <c r="IN26" s="108">
        <v>0.22700000000000001</v>
      </c>
      <c r="IO26" s="108">
        <v>0.224</v>
      </c>
      <c r="IP26" s="108">
        <v>0.23100000000000001</v>
      </c>
      <c r="IQ26" s="108">
        <v>0.22800000000000001</v>
      </c>
      <c r="IR26" s="108">
        <v>0.23699999999999999</v>
      </c>
      <c r="IS26" s="108">
        <v>0.23599999999999999</v>
      </c>
      <c r="IT26" s="108">
        <v>0.245</v>
      </c>
      <c r="IU26" s="108">
        <v>0.24199999999999999</v>
      </c>
      <c r="IV26" s="108">
        <v>0.253</v>
      </c>
      <c r="IW26" s="108">
        <v>0.251</v>
      </c>
      <c r="IX26" s="108">
        <v>0.25900000000000001</v>
      </c>
      <c r="IY26" s="108">
        <v>0.255</v>
      </c>
      <c r="IZ26" s="108">
        <v>0.26600000000000001</v>
      </c>
      <c r="JA26" s="108">
        <v>0.26300000000000001</v>
      </c>
      <c r="JB26" s="108">
        <v>0.26800000000000002</v>
      </c>
      <c r="JC26" s="108">
        <v>0.26700000000000002</v>
      </c>
      <c r="JD26" s="108">
        <v>0.27500000000000002</v>
      </c>
      <c r="JE26" s="108">
        <v>0.27200000000000002</v>
      </c>
      <c r="JF26" s="108">
        <v>0.27900000000000003</v>
      </c>
      <c r="JG26" s="108">
        <v>0.27800000000000002</v>
      </c>
      <c r="JH26" s="108">
        <v>0.22</v>
      </c>
      <c r="JI26" s="108">
        <v>0.216</v>
      </c>
      <c r="JJ26" s="108">
        <v>0.224</v>
      </c>
      <c r="JK26" s="108">
        <v>0.22</v>
      </c>
      <c r="JL26" s="108">
        <v>0.23</v>
      </c>
      <c r="JM26" s="108">
        <v>0.23200000000000001</v>
      </c>
      <c r="JN26" s="108">
        <v>0.23799999999999999</v>
      </c>
      <c r="JO26" s="108">
        <v>0.23400000000000001</v>
      </c>
      <c r="JP26" s="108">
        <v>0.24399999999999999</v>
      </c>
      <c r="JQ26" s="108">
        <v>0.24099999999999999</v>
      </c>
      <c r="JR26" s="108">
        <v>0.251</v>
      </c>
      <c r="JS26" s="108">
        <v>0.248</v>
      </c>
      <c r="JT26" s="108">
        <v>0.255</v>
      </c>
      <c r="JU26" s="108">
        <v>0.254</v>
      </c>
      <c r="JV26" s="108">
        <v>0.26</v>
      </c>
      <c r="JW26" s="108">
        <v>0.25800000000000001</v>
      </c>
      <c r="JX26" s="108">
        <v>0.26600000000000001</v>
      </c>
      <c r="JY26" s="108">
        <v>0.26100000000000001</v>
      </c>
      <c r="JZ26" s="108">
        <v>0.27100000000000002</v>
      </c>
      <c r="KA26" s="108">
        <v>0.26900000000000002</v>
      </c>
      <c r="KB26" s="108">
        <v>0.21199999999999999</v>
      </c>
      <c r="KC26" s="108">
        <v>0.20799999999999999</v>
      </c>
      <c r="KD26" s="108">
        <v>0.215</v>
      </c>
      <c r="KE26" s="108">
        <v>0.21099999999999999</v>
      </c>
      <c r="KF26" s="108">
        <v>0.224</v>
      </c>
      <c r="KG26" s="108">
        <v>0.219</v>
      </c>
      <c r="KH26" s="108">
        <v>0.22800000000000001</v>
      </c>
      <c r="KI26" s="108">
        <v>0.224</v>
      </c>
      <c r="KJ26" s="108">
        <v>0.23599999999999999</v>
      </c>
      <c r="KK26" s="108">
        <v>0.23300000000000001</v>
      </c>
      <c r="KL26" s="108">
        <v>0.24299999999999999</v>
      </c>
      <c r="KM26" s="108">
        <v>0.23899999999999999</v>
      </c>
      <c r="KN26" s="108">
        <v>0.25</v>
      </c>
      <c r="KO26" s="108">
        <v>0.246</v>
      </c>
      <c r="KP26" s="108">
        <v>0.254</v>
      </c>
      <c r="KQ26" s="108">
        <v>0.25</v>
      </c>
      <c r="KR26" s="108">
        <v>0.25800000000000001</v>
      </c>
      <c r="KS26" s="108">
        <v>0.254</v>
      </c>
      <c r="KT26" s="108">
        <v>0.26400000000000001</v>
      </c>
      <c r="KU26" s="108">
        <v>0.26</v>
      </c>
      <c r="KV26" s="108">
        <v>0.20499999999999999</v>
      </c>
      <c r="KW26" s="108">
        <v>0.20499999999999999</v>
      </c>
      <c r="KX26" s="108">
        <v>0.20799999999999999</v>
      </c>
      <c r="KY26" s="108">
        <v>0.20899999999999999</v>
      </c>
      <c r="KZ26" s="108">
        <v>0.215</v>
      </c>
      <c r="LA26" s="108">
        <v>0.216</v>
      </c>
      <c r="LB26" s="108">
        <v>0.219</v>
      </c>
      <c r="LC26" s="108">
        <v>0.22</v>
      </c>
      <c r="LD26" s="108">
        <v>0.22800000000000001</v>
      </c>
      <c r="LE26" s="108">
        <v>0.22800000000000001</v>
      </c>
      <c r="LF26" s="108">
        <v>0.23400000000000001</v>
      </c>
      <c r="LG26" s="108">
        <v>0.23499999999999999</v>
      </c>
      <c r="LH26" s="108">
        <v>0.24099999999999999</v>
      </c>
      <c r="LI26" s="108">
        <v>0.24099999999999999</v>
      </c>
      <c r="LJ26" s="108">
        <v>0.245</v>
      </c>
      <c r="LK26" s="108">
        <v>0.245</v>
      </c>
      <c r="LL26" s="108">
        <v>0.25</v>
      </c>
      <c r="LM26" s="108">
        <v>0.251</v>
      </c>
      <c r="LN26" s="108">
        <v>0.255</v>
      </c>
      <c r="LO26" s="108">
        <v>0.25700000000000001</v>
      </c>
      <c r="LP26" s="108">
        <v>0.20599999999999999</v>
      </c>
      <c r="LQ26" s="108">
        <v>0.20499999999999999</v>
      </c>
      <c r="LR26" s="108">
        <v>0.20799999999999999</v>
      </c>
      <c r="LS26" s="108">
        <v>0.20799999999999999</v>
      </c>
      <c r="LT26" s="108">
        <v>0.215</v>
      </c>
      <c r="LU26" s="108">
        <v>0.214</v>
      </c>
      <c r="LV26" s="108">
        <v>0.219</v>
      </c>
      <c r="LW26" s="108">
        <v>0.22</v>
      </c>
      <c r="LX26" s="108">
        <v>0.22600000000000001</v>
      </c>
      <c r="LY26" s="108">
        <v>0.22500000000000001</v>
      </c>
      <c r="LZ26" s="108">
        <v>0.23300000000000001</v>
      </c>
      <c r="MA26" s="108">
        <v>0.23400000000000001</v>
      </c>
      <c r="MB26" s="108">
        <v>0.24</v>
      </c>
      <c r="MC26" s="108">
        <v>0.23899999999999999</v>
      </c>
      <c r="MD26" s="108">
        <v>0.24399999999999999</v>
      </c>
      <c r="ME26" s="108">
        <v>0.24399999999999999</v>
      </c>
      <c r="MF26" s="108">
        <v>0.25</v>
      </c>
      <c r="MG26" s="108">
        <v>0.249</v>
      </c>
      <c r="MH26" s="108">
        <v>0.25600000000000001</v>
      </c>
      <c r="MI26" s="108">
        <v>0.25600000000000001</v>
      </c>
      <c r="MJ26" s="108">
        <v>0.20399999999999999</v>
      </c>
      <c r="MK26" s="108">
        <v>0.20100000000000001</v>
      </c>
      <c r="ML26" s="108">
        <v>0.20599999999999999</v>
      </c>
      <c r="MM26" s="108">
        <v>0.20300000000000001</v>
      </c>
      <c r="MN26" s="108">
        <v>0.21199999999999999</v>
      </c>
      <c r="MO26" s="108">
        <v>0.20899999999999999</v>
      </c>
      <c r="MP26" s="108">
        <v>0.217</v>
      </c>
      <c r="MQ26" s="108">
        <v>0.21199999999999999</v>
      </c>
      <c r="MR26" s="108">
        <v>0.223</v>
      </c>
      <c r="MS26" s="108">
        <v>0.221</v>
      </c>
      <c r="MT26" s="108">
        <v>0.23</v>
      </c>
      <c r="MU26" s="108">
        <v>0.22600000000000001</v>
      </c>
      <c r="MV26" s="108">
        <v>0.23699999999999999</v>
      </c>
      <c r="MW26" s="108">
        <v>0.23200000000000001</v>
      </c>
      <c r="MX26" s="108">
        <v>0.24199999999999999</v>
      </c>
      <c r="MY26" s="108">
        <v>0.23699999999999999</v>
      </c>
      <c r="MZ26" s="108">
        <v>0.247</v>
      </c>
      <c r="NA26" s="108">
        <v>0.24299999999999999</v>
      </c>
      <c r="NB26" s="108">
        <v>0.253</v>
      </c>
      <c r="NC26" s="108">
        <v>0.248</v>
      </c>
      <c r="ND26" s="108">
        <v>0.192</v>
      </c>
      <c r="NE26" s="108">
        <v>0.19700000000000001</v>
      </c>
      <c r="NF26" s="108">
        <v>0.19800000000000001</v>
      </c>
      <c r="NG26" s="108">
        <v>0.2</v>
      </c>
      <c r="NH26" s="108">
        <v>0.19800000000000001</v>
      </c>
      <c r="NI26" s="108">
        <v>0.20499999999999999</v>
      </c>
      <c r="NJ26" s="108">
        <v>0.20599999999999999</v>
      </c>
      <c r="NK26" s="108">
        <v>0.21</v>
      </c>
      <c r="NL26" s="108">
        <v>0.21099999999999999</v>
      </c>
      <c r="NM26" s="108">
        <v>0.21299999999999999</v>
      </c>
      <c r="NN26" s="108">
        <v>0.219</v>
      </c>
      <c r="NO26" s="108">
        <v>0.221</v>
      </c>
      <c r="NP26" s="108">
        <v>0.223</v>
      </c>
      <c r="NQ26" s="108">
        <v>0.224</v>
      </c>
      <c r="NR26" s="108">
        <v>0.23</v>
      </c>
      <c r="NS26" s="108">
        <v>0.23300000000000001</v>
      </c>
      <c r="NT26" s="108">
        <v>0.23400000000000001</v>
      </c>
      <c r="NU26" s="108">
        <v>0.23799999999999999</v>
      </c>
      <c r="NV26" s="108">
        <v>0.24299999999999999</v>
      </c>
      <c r="NW26" s="108">
        <v>0.246</v>
      </c>
      <c r="NX26" s="108">
        <v>0.20599999999999999</v>
      </c>
      <c r="NY26" s="108">
        <v>0.21099999999999999</v>
      </c>
      <c r="NZ26" s="108">
        <v>0.20699999999999999</v>
      </c>
      <c r="OA26" s="108">
        <v>0.21299999999999999</v>
      </c>
      <c r="OB26" s="108">
        <v>0.21199999999999999</v>
      </c>
      <c r="OC26" s="108">
        <v>0.217</v>
      </c>
      <c r="OD26" s="108">
        <v>0.216</v>
      </c>
      <c r="OE26" s="108">
        <v>0.217</v>
      </c>
      <c r="OF26" s="108">
        <v>0.221</v>
      </c>
      <c r="OG26" s="108">
        <v>0.22600000000000001</v>
      </c>
      <c r="OH26" s="108">
        <v>0.22600000000000001</v>
      </c>
      <c r="OI26" s="108">
        <v>0.22900000000000001</v>
      </c>
      <c r="OJ26" s="108">
        <v>0.23100000000000001</v>
      </c>
      <c r="OK26" s="108">
        <v>0.23499999999999999</v>
      </c>
      <c r="OL26" s="108">
        <v>0.23699999999999999</v>
      </c>
      <c r="OM26" s="108">
        <v>0.24199999999999999</v>
      </c>
      <c r="ON26" s="108">
        <v>0.245</v>
      </c>
      <c r="OO26" s="108">
        <v>0.248</v>
      </c>
      <c r="OP26" s="108">
        <v>0.252</v>
      </c>
      <c r="OQ26" s="108">
        <v>0.255</v>
      </c>
      <c r="OR26" s="108">
        <v>0.219</v>
      </c>
      <c r="OS26" s="108">
        <v>0.221</v>
      </c>
      <c r="OT26" s="108">
        <v>0.221</v>
      </c>
      <c r="OU26" s="108">
        <v>0.222</v>
      </c>
      <c r="OV26" s="108">
        <v>0.224</v>
      </c>
      <c r="OW26" s="108">
        <v>0.22600000000000001</v>
      </c>
      <c r="OX26" s="108">
        <v>0.222</v>
      </c>
      <c r="OY26" s="108">
        <v>0.22600000000000001</v>
      </c>
      <c r="OZ26" s="108">
        <v>0.22900000000000001</v>
      </c>
      <c r="PA26" s="108">
        <v>0.22900000000000001</v>
      </c>
      <c r="PB26" s="108">
        <v>0.23200000000000001</v>
      </c>
      <c r="PC26" s="108">
        <v>0.23200000000000001</v>
      </c>
      <c r="PD26" s="108">
        <v>0.23899999999999999</v>
      </c>
      <c r="PE26" s="108">
        <v>0.23799999999999999</v>
      </c>
      <c r="PF26" s="108">
        <v>0.24399999999999999</v>
      </c>
      <c r="PG26" s="108">
        <v>0.245</v>
      </c>
      <c r="PH26" s="108">
        <v>0.252</v>
      </c>
      <c r="PI26" s="108">
        <v>0.25</v>
      </c>
      <c r="PJ26" s="108">
        <v>0.26</v>
      </c>
      <c r="PK26" s="108">
        <v>0.26</v>
      </c>
      <c r="PL26" s="108">
        <v>0.22600000000000001</v>
      </c>
      <c r="PM26" s="108">
        <v>0.22900000000000001</v>
      </c>
      <c r="PN26" s="108">
        <v>0.22500000000000001</v>
      </c>
      <c r="PO26" s="108">
        <v>0.22800000000000001</v>
      </c>
      <c r="PP26" s="108">
        <v>0.22600000000000001</v>
      </c>
      <c r="PQ26" s="108">
        <v>0.22600000000000001</v>
      </c>
      <c r="PR26" s="108">
        <v>0.22600000000000001</v>
      </c>
      <c r="PS26" s="108">
        <v>0.22600000000000001</v>
      </c>
      <c r="PT26" s="108">
        <v>0.22900000000000001</v>
      </c>
      <c r="PU26" s="108">
        <v>0.22700000000000001</v>
      </c>
      <c r="PV26" s="108">
        <v>0.23100000000000001</v>
      </c>
      <c r="PW26" s="108">
        <v>0.23100000000000001</v>
      </c>
      <c r="PX26" s="108">
        <v>0.23599999999999999</v>
      </c>
      <c r="PY26" s="108">
        <v>0.23400000000000001</v>
      </c>
      <c r="PZ26" s="108">
        <v>0.24099999999999999</v>
      </c>
      <c r="QA26" s="108">
        <v>0.23799999999999999</v>
      </c>
      <c r="QB26" s="108">
        <v>0.248</v>
      </c>
      <c r="QC26" s="108">
        <v>0.246</v>
      </c>
      <c r="QD26" s="108">
        <v>0.25800000000000001</v>
      </c>
      <c r="QE26" s="108">
        <v>0.255</v>
      </c>
      <c r="BXV26" s="109">
        <v>1</v>
      </c>
      <c r="BXW26" s="108" t="s">
        <v>155</v>
      </c>
      <c r="BXX26" s="108" t="s">
        <v>154</v>
      </c>
      <c r="BYA26" s="103">
        <v>0</v>
      </c>
      <c r="BYX26" s="108">
        <v>1</v>
      </c>
      <c r="BYY26" s="108">
        <v>2</v>
      </c>
      <c r="CAM26" s="108">
        <v>1</v>
      </c>
      <c r="CAN26" s="108">
        <v>2</v>
      </c>
      <c r="CAO26" s="108">
        <v>0.11</v>
      </c>
      <c r="CAP26" s="108">
        <v>0.01</v>
      </c>
      <c r="CAQ26" s="108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3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tr">
        <f>IF(D1="block X","Số PCB/1Sheet",D1*E1)</f>
        <v>Số PCB/1Sheet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407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408</v>
      </c>
      <c r="ABE1" s="102" t="s">
        <v>419</v>
      </c>
      <c r="ABF1" s="102" t="s">
        <v>409</v>
      </c>
      <c r="ABG1" s="102" t="s">
        <v>410</v>
      </c>
      <c r="ABH1" s="102" t="s">
        <v>411</v>
      </c>
      <c r="ABI1" s="102" t="s">
        <v>412</v>
      </c>
      <c r="ABJ1" s="102" t="s">
        <v>413</v>
      </c>
      <c r="ABK1" s="102" t="s">
        <v>414</v>
      </c>
      <c r="ABL1" s="102" t="s">
        <v>415</v>
      </c>
      <c r="ABM1" s="102" t="s">
        <v>416</v>
      </c>
      <c r="ABN1" s="102" t="s">
        <v>417</v>
      </c>
      <c r="ABO1" s="102" t="s">
        <v>418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463</v>
      </c>
      <c r="B2" s="98" t="s">
        <v>380</v>
      </c>
      <c r="C2" s="99">
        <v>45568.30341</v>
      </c>
      <c r="D2" s="98">
        <v>3</v>
      </c>
      <c r="E2" s="98">
        <v>6</v>
      </c>
      <c r="F2" s="98">
        <v>5</v>
      </c>
      <c r="G2" s="98">
        <v>18</v>
      </c>
      <c r="H2" s="104">
        <v>0.59</v>
      </c>
      <c r="I2" s="104">
        <v>0.59</v>
      </c>
      <c r="J2" s="104">
        <v>0.59</v>
      </c>
      <c r="K2" s="104">
        <v>0.59</v>
      </c>
      <c r="L2" s="104">
        <v>0.64</v>
      </c>
      <c r="T2" s="104">
        <v>0.49</v>
      </c>
      <c r="U2" s="104">
        <v>0.49</v>
      </c>
      <c r="V2" s="104">
        <v>0.49</v>
      </c>
      <c r="W2" s="104">
        <v>0.49</v>
      </c>
      <c r="X2" s="104">
        <v>0.54</v>
      </c>
      <c r="AF2" s="98" t="s">
        <v>383</v>
      </c>
      <c r="AG2" s="98" t="s">
        <v>384</v>
      </c>
      <c r="AH2" s="98" t="s">
        <v>386</v>
      </c>
      <c r="AI2" s="98" t="s">
        <v>385</v>
      </c>
      <c r="AJ2" s="98" t="s">
        <v>381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M2" s="93" t="s">
        <v>190</v>
      </c>
      <c r="BN2" s="94" t="s">
        <v>213</v>
      </c>
      <c r="BO2" s="94" t="s">
        <v>191</v>
      </c>
      <c r="BP2" s="94"/>
      <c r="BQ2" s="98" t="s">
        <v>404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464</v>
      </c>
      <c r="B3" s="98" t="s">
        <v>380</v>
      </c>
      <c r="C3" s="99">
        <v>45522.401729999998</v>
      </c>
      <c r="D3" s="98">
        <v>1</v>
      </c>
      <c r="E3" s="98">
        <v>16</v>
      </c>
      <c r="F3" s="98">
        <v>7</v>
      </c>
      <c r="G3" s="98">
        <v>16</v>
      </c>
      <c r="H3" s="104">
        <v>0.71</v>
      </c>
      <c r="I3" s="104">
        <v>0.42</v>
      </c>
      <c r="J3" s="104">
        <v>0.42</v>
      </c>
      <c r="K3" s="104">
        <v>0.46</v>
      </c>
      <c r="L3" s="104">
        <v>0.46</v>
      </c>
      <c r="M3" s="104">
        <v>0.71</v>
      </c>
      <c r="N3" s="104">
        <v>0.71</v>
      </c>
      <c r="T3" s="104">
        <v>0.65</v>
      </c>
      <c r="U3" s="104">
        <v>0.36</v>
      </c>
      <c r="V3" s="104">
        <v>0.36</v>
      </c>
      <c r="W3" s="104">
        <v>0.4</v>
      </c>
      <c r="X3" s="104">
        <v>0.4</v>
      </c>
      <c r="Y3" s="104">
        <v>0.65</v>
      </c>
      <c r="Z3" s="104">
        <v>0.65</v>
      </c>
      <c r="AF3" s="98" t="s">
        <v>389</v>
      </c>
      <c r="AG3" s="98" t="s">
        <v>383</v>
      </c>
      <c r="AH3" s="98" t="s">
        <v>385</v>
      </c>
      <c r="AI3" s="98" t="s">
        <v>384</v>
      </c>
      <c r="AJ3" s="98" t="s">
        <v>386</v>
      </c>
      <c r="AK3" s="98" t="s">
        <v>390</v>
      </c>
      <c r="AL3" s="98" t="s">
        <v>465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491</v>
      </c>
      <c r="XFB3" s="105" t="s">
        <v>158</v>
      </c>
    </row>
    <row r="4" spans="1:743 16382:16384">
      <c r="A4" s="98" t="s">
        <v>422</v>
      </c>
      <c r="B4" s="98" t="s">
        <v>401</v>
      </c>
      <c r="C4" s="99">
        <v>45517.842239999998</v>
      </c>
      <c r="D4" s="98">
        <v>3</v>
      </c>
      <c r="E4" s="98">
        <v>10</v>
      </c>
      <c r="F4" s="98">
        <v>4</v>
      </c>
      <c r="G4" s="98">
        <v>30</v>
      </c>
      <c r="H4" s="104">
        <v>1</v>
      </c>
      <c r="I4" s="104">
        <v>1</v>
      </c>
      <c r="J4" s="104">
        <v>1</v>
      </c>
      <c r="K4" s="104">
        <v>1</v>
      </c>
      <c r="T4" s="104">
        <v>0.5</v>
      </c>
      <c r="U4" s="104">
        <v>0.5</v>
      </c>
      <c r="V4" s="104">
        <v>0.5</v>
      </c>
      <c r="W4" s="104">
        <v>0.8</v>
      </c>
      <c r="AF4" s="98" t="s">
        <v>392</v>
      </c>
      <c r="AG4" s="98" t="s">
        <v>393</v>
      </c>
      <c r="AH4" s="98" t="s">
        <v>381</v>
      </c>
      <c r="AI4" s="98" t="s">
        <v>421</v>
      </c>
      <c r="AR4" s="98">
        <v>-0.1</v>
      </c>
      <c r="AS4" s="98">
        <v>-0.1</v>
      </c>
      <c r="AT4" s="98">
        <v>-0.1</v>
      </c>
      <c r="AU4" s="98">
        <v>-0.1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154</v>
      </c>
      <c r="XFB4" s="106"/>
      <c r="XFC4" s="106"/>
      <c r="XFD4" s="106"/>
    </row>
    <row r="5" spans="1:743 16382:16384">
      <c r="A5" s="98" t="s">
        <v>156</v>
      </c>
      <c r="B5" s="98" t="s">
        <v>401</v>
      </c>
      <c r="C5" s="99">
        <v>45017.625079999998</v>
      </c>
      <c r="D5" s="98">
        <v>12</v>
      </c>
      <c r="E5" s="98">
        <v>1</v>
      </c>
      <c r="F5" s="98">
        <v>7</v>
      </c>
      <c r="G5" s="98">
        <v>12</v>
      </c>
      <c r="H5" s="104">
        <v>0.48</v>
      </c>
      <c r="I5" s="104">
        <v>0.54</v>
      </c>
      <c r="J5" s="104">
        <v>0.54</v>
      </c>
      <c r="K5" s="104">
        <v>0.88</v>
      </c>
      <c r="L5" s="104">
        <v>0.88</v>
      </c>
      <c r="M5" s="104">
        <v>0.88</v>
      </c>
      <c r="N5" s="104">
        <v>0.88</v>
      </c>
      <c r="T5" s="104">
        <v>0.42</v>
      </c>
      <c r="U5" s="104">
        <v>0.44</v>
      </c>
      <c r="V5" s="104">
        <v>0.44</v>
      </c>
      <c r="W5" s="104">
        <v>0.78</v>
      </c>
      <c r="X5" s="104">
        <v>0.78</v>
      </c>
      <c r="Y5" s="104">
        <v>0.78</v>
      </c>
      <c r="Z5" s="104">
        <v>0.78</v>
      </c>
      <c r="AF5" s="98" t="s">
        <v>381</v>
      </c>
      <c r="AG5" s="98" t="s">
        <v>402</v>
      </c>
      <c r="AH5" s="98" t="s">
        <v>403</v>
      </c>
      <c r="AI5" s="98" t="s">
        <v>383</v>
      </c>
      <c r="AJ5" s="98" t="s">
        <v>385</v>
      </c>
      <c r="AK5" s="98" t="s">
        <v>384</v>
      </c>
      <c r="AL5" s="98" t="s">
        <v>386</v>
      </c>
      <c r="AR5" s="98">
        <v>0</v>
      </c>
      <c r="AS5" s="98">
        <v>0</v>
      </c>
      <c r="AT5" s="98">
        <v>0</v>
      </c>
      <c r="AU5" s="98">
        <v>0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466</v>
      </c>
      <c r="B6" s="98" t="s">
        <v>380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381</v>
      </c>
      <c r="AG6" s="98" t="s">
        <v>383</v>
      </c>
      <c r="AH6" s="98" t="s">
        <v>385</v>
      </c>
      <c r="AI6" s="98" t="s">
        <v>392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467</v>
      </c>
      <c r="B7" s="98" t="s">
        <v>380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381</v>
      </c>
      <c r="AG7" s="98" t="s">
        <v>385</v>
      </c>
      <c r="AH7" s="98" t="s">
        <v>386</v>
      </c>
      <c r="AI7" s="98" t="s">
        <v>384</v>
      </c>
      <c r="AJ7" s="98" t="s">
        <v>383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468</v>
      </c>
      <c r="B8" s="98" t="s">
        <v>380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381</v>
      </c>
      <c r="AG8" s="98" t="s">
        <v>385</v>
      </c>
      <c r="AH8" s="98" t="s">
        <v>383</v>
      </c>
      <c r="AI8" s="98" t="s">
        <v>384</v>
      </c>
      <c r="AJ8" s="98" t="s">
        <v>386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469</v>
      </c>
      <c r="B9" s="98" t="s">
        <v>380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381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470</v>
      </c>
      <c r="B10" s="98" t="s">
        <v>380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381</v>
      </c>
      <c r="AG10" s="98" t="s">
        <v>393</v>
      </c>
      <c r="AH10" s="98" t="s">
        <v>384</v>
      </c>
      <c r="AI10" s="98" t="s">
        <v>386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471</v>
      </c>
      <c r="B11" s="98" t="s">
        <v>380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381</v>
      </c>
      <c r="AG11" s="98" t="s">
        <v>392</v>
      </c>
      <c r="AH11" s="98" t="s">
        <v>393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472</v>
      </c>
      <c r="B12" s="98" t="s">
        <v>380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381</v>
      </c>
      <c r="AG12" s="98" t="s">
        <v>392</v>
      </c>
      <c r="AH12" s="98" t="s">
        <v>393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473</v>
      </c>
      <c r="B13" s="98" t="s">
        <v>380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381</v>
      </c>
      <c r="AG13" s="98" t="s">
        <v>383</v>
      </c>
      <c r="AH13" s="98" t="s">
        <v>384</v>
      </c>
      <c r="AI13" s="98" t="s">
        <v>386</v>
      </c>
      <c r="AJ13" s="98" t="s">
        <v>385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214</v>
      </c>
      <c r="BN13" s="98" t="s">
        <v>215</v>
      </c>
      <c r="BO13" s="94" t="s">
        <v>191</v>
      </c>
    </row>
    <row r="14" spans="1:743 16382:16384">
      <c r="A14" s="98" t="s">
        <v>379</v>
      </c>
      <c r="B14" s="98" t="s">
        <v>380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381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</row>
    <row r="15" spans="1:743 16382:16384">
      <c r="A15" s="98" t="s">
        <v>382</v>
      </c>
      <c r="B15" s="98" t="s">
        <v>380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383</v>
      </c>
      <c r="AG15" s="98" t="s">
        <v>384</v>
      </c>
      <c r="AH15" s="98" t="s">
        <v>385</v>
      </c>
      <c r="AI15" s="98" t="s">
        <v>386</v>
      </c>
      <c r="AJ15" s="98" t="s">
        <v>381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387</v>
      </c>
      <c r="B16" s="98" t="s">
        <v>380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381</v>
      </c>
      <c r="AG16" s="98" t="s">
        <v>384</v>
      </c>
      <c r="AH16" s="98" t="s">
        <v>386</v>
      </c>
      <c r="AI16" s="98" t="s">
        <v>383</v>
      </c>
      <c r="AJ16" s="98" t="s">
        <v>385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388</v>
      </c>
      <c r="B17" s="98" t="s">
        <v>380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389</v>
      </c>
      <c r="AG17" s="98" t="s">
        <v>390</v>
      </c>
      <c r="AH17" s="98" t="s">
        <v>384</v>
      </c>
      <c r="AI17" s="98" t="s">
        <v>386</v>
      </c>
      <c r="AJ17" s="98" t="s">
        <v>383</v>
      </c>
      <c r="AK17" s="98" t="s">
        <v>385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395</v>
      </c>
      <c r="B18" s="98" t="s">
        <v>380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392</v>
      </c>
      <c r="AG18" s="98" t="s">
        <v>393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396</v>
      </c>
      <c r="B19" s="98" t="s">
        <v>380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397</v>
      </c>
      <c r="AG19" s="98" t="s">
        <v>398</v>
      </c>
      <c r="AH19" s="98" t="s">
        <v>397</v>
      </c>
      <c r="AI19" s="98" t="s">
        <v>399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400</v>
      </c>
      <c r="B20" s="98" t="s">
        <v>380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381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474</v>
      </c>
      <c r="B21" s="98" t="s">
        <v>380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389</v>
      </c>
      <c r="AG21" s="98" t="s">
        <v>383</v>
      </c>
      <c r="AH21" s="98" t="s">
        <v>385</v>
      </c>
      <c r="AI21" s="98" t="s">
        <v>384</v>
      </c>
      <c r="AJ21" s="98" t="s">
        <v>386</v>
      </c>
      <c r="AK21" s="98" t="s">
        <v>390</v>
      </c>
      <c r="AL21" s="98" t="s">
        <v>465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475</v>
      </c>
      <c r="B22" s="98" t="s">
        <v>380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381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476</v>
      </c>
      <c r="B23" s="98" t="s">
        <v>380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381</v>
      </c>
      <c r="AG23" s="98" t="s">
        <v>384</v>
      </c>
      <c r="AH23" s="98" t="s">
        <v>386</v>
      </c>
      <c r="AI23" s="98" t="s">
        <v>383</v>
      </c>
      <c r="AJ23" s="98" t="s">
        <v>385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477</v>
      </c>
      <c r="B24" s="98" t="s">
        <v>380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381</v>
      </c>
      <c r="AG24" s="98" t="s">
        <v>392</v>
      </c>
      <c r="AH24" s="98" t="s">
        <v>393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478</v>
      </c>
      <c r="B25" s="98" t="s">
        <v>380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393</v>
      </c>
      <c r="AG25" s="98" t="s">
        <v>386</v>
      </c>
      <c r="AH25" s="98" t="s">
        <v>384</v>
      </c>
      <c r="AI25" s="98" t="s">
        <v>381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479</v>
      </c>
      <c r="B26" s="98" t="s">
        <v>380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390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480</v>
      </c>
      <c r="B27" s="98" t="s">
        <v>380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381</v>
      </c>
      <c r="AG27" s="98" t="s">
        <v>383</v>
      </c>
      <c r="AH27" s="98" t="s">
        <v>384</v>
      </c>
      <c r="AI27" s="98" t="s">
        <v>386</v>
      </c>
      <c r="AJ27" s="98" t="s">
        <v>385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481</v>
      </c>
      <c r="B28" s="98" t="s">
        <v>380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386</v>
      </c>
      <c r="AG28" s="98" t="s">
        <v>385</v>
      </c>
      <c r="AH28" s="98" t="s">
        <v>390</v>
      </c>
      <c r="AI28" s="98" t="s">
        <v>384</v>
      </c>
      <c r="AJ28" s="98" t="s">
        <v>383</v>
      </c>
      <c r="AK28" s="98" t="s">
        <v>389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482</v>
      </c>
      <c r="B29" s="98" t="s">
        <v>380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390</v>
      </c>
      <c r="AG29" s="98" t="s">
        <v>385</v>
      </c>
      <c r="AH29" s="98" t="s">
        <v>386</v>
      </c>
      <c r="AI29" s="98" t="s">
        <v>384</v>
      </c>
      <c r="AJ29" s="98" t="s">
        <v>383</v>
      </c>
      <c r="AK29" s="98" t="s">
        <v>389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483</v>
      </c>
      <c r="B30" s="98" t="s">
        <v>380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381</v>
      </c>
      <c r="AG30" s="98" t="s">
        <v>386</v>
      </c>
      <c r="AH30" s="98" t="s">
        <v>384</v>
      </c>
      <c r="AI30" s="98" t="s">
        <v>385</v>
      </c>
      <c r="AJ30" s="98" t="s">
        <v>383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484</v>
      </c>
      <c r="B31" s="98" t="s">
        <v>380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381</v>
      </c>
      <c r="AG31" s="98" t="s">
        <v>384</v>
      </c>
      <c r="AH31" s="98" t="s">
        <v>386</v>
      </c>
      <c r="AI31" s="98" t="s">
        <v>383</v>
      </c>
      <c r="AJ31" s="98" t="s">
        <v>385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485</v>
      </c>
      <c r="B32" s="98" t="s">
        <v>380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398</v>
      </c>
      <c r="AG32" s="98" t="s">
        <v>399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486</v>
      </c>
      <c r="B33" s="98" t="s">
        <v>380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381</v>
      </c>
      <c r="AG33" s="98" t="s">
        <v>383</v>
      </c>
      <c r="AH33" s="98" t="s">
        <v>385</v>
      </c>
      <c r="AI33" s="98" t="s">
        <v>384</v>
      </c>
      <c r="AJ33" s="98" t="s">
        <v>386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487</v>
      </c>
      <c r="B34" s="98" t="s">
        <v>380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384</v>
      </c>
      <c r="AG34" s="98" t="s">
        <v>386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488</v>
      </c>
      <c r="B35" s="98" t="s">
        <v>380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381</v>
      </c>
      <c r="AG35" s="98" t="s">
        <v>385</v>
      </c>
      <c r="AH35" s="98" t="s">
        <v>386</v>
      </c>
      <c r="AI35" s="98" t="s">
        <v>384</v>
      </c>
      <c r="AJ35" s="98" t="s">
        <v>383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489</v>
      </c>
      <c r="B36" s="98" t="s">
        <v>380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381</v>
      </c>
      <c r="AG36" s="98" t="s">
        <v>393</v>
      </c>
      <c r="AH36" s="98" t="s">
        <v>384</v>
      </c>
      <c r="AI36" s="98" t="s">
        <v>386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490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7" t="s">
        <v>493</v>
      </c>
      <c r="C2" s="127"/>
      <c r="D2" s="131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7"/>
      <c r="C3" s="127"/>
      <c r="D3" s="131"/>
      <c r="E3" s="76"/>
      <c r="F3" s="76"/>
      <c r="G3" s="76"/>
    </row>
    <row r="4" spans="2:7" ht="28.5" customHeight="1">
      <c r="B4" s="127"/>
      <c r="C4" s="127"/>
      <c r="D4" s="131"/>
      <c r="E4" s="79"/>
      <c r="F4" s="79"/>
      <c r="G4" s="79"/>
    </row>
    <row r="5" spans="2:7" ht="28.5" customHeight="1">
      <c r="B5" s="127" t="s">
        <v>0</v>
      </c>
      <c r="C5" s="127"/>
      <c r="D5" s="31" t="s">
        <v>55</v>
      </c>
      <c r="E5" s="72" t="s">
        <v>223</v>
      </c>
      <c r="F5" s="30" t="s">
        <v>56</v>
      </c>
      <c r="G5" s="30" t="s">
        <v>37</v>
      </c>
    </row>
    <row r="6" spans="2:7" ht="107.25" customHeight="1">
      <c r="B6" s="123" t="s">
        <v>216</v>
      </c>
      <c r="C6" s="124"/>
      <c r="D6" s="78"/>
      <c r="E6" s="78"/>
      <c r="F6" s="78"/>
      <c r="G6" s="78"/>
    </row>
    <row r="7" spans="2:7" ht="28.5" customHeight="1">
      <c r="B7" s="141" t="s">
        <v>217</v>
      </c>
      <c r="C7" s="142"/>
      <c r="D7" s="85" t="s">
        <v>219</v>
      </c>
      <c r="E7" s="85" t="s">
        <v>218</v>
      </c>
      <c r="F7" s="136" t="s">
        <v>220</v>
      </c>
      <c r="G7" s="128" t="s">
        <v>225</v>
      </c>
    </row>
    <row r="8" spans="2:7" ht="21" customHeight="1">
      <c r="B8" s="125" t="s">
        <v>317</v>
      </c>
      <c r="C8" s="126"/>
      <c r="D8" s="90"/>
      <c r="E8" s="90"/>
      <c r="F8" s="136"/>
      <c r="G8" s="129"/>
    </row>
    <row r="9" spans="2:7" ht="21" customHeight="1">
      <c r="B9" s="137" t="s">
        <v>11</v>
      </c>
      <c r="C9" s="138"/>
      <c r="D9" s="83"/>
      <c r="E9" s="83"/>
      <c r="F9" s="136"/>
      <c r="G9" s="129"/>
    </row>
    <row r="10" spans="2:7" ht="21" customHeight="1">
      <c r="B10" s="137" t="s">
        <v>12</v>
      </c>
      <c r="C10" s="138"/>
      <c r="D10" s="84"/>
      <c r="E10" s="84"/>
      <c r="F10" s="136"/>
      <c r="G10" s="129"/>
    </row>
    <row r="11" spans="2:7" ht="21" customHeight="1">
      <c r="B11" s="139" t="s">
        <v>1</v>
      </c>
      <c r="C11" s="140"/>
      <c r="D11" s="82">
        <f>MAX(D19:D20)</f>
        <v>0</v>
      </c>
      <c r="E11" s="82">
        <f>MAX(E19:E20)</f>
        <v>0</v>
      </c>
      <c r="F11" s="136"/>
      <c r="G11" s="129"/>
    </row>
    <row r="12" spans="2:7" ht="21" customHeight="1">
      <c r="B12" s="139" t="s">
        <v>2</v>
      </c>
      <c r="C12" s="140"/>
      <c r="D12" s="82">
        <f>MIN(D19:D20)</f>
        <v>0</v>
      </c>
      <c r="E12" s="82">
        <f>MIN(E19:E20)</f>
        <v>0</v>
      </c>
      <c r="F12" s="136"/>
      <c r="G12" s="129"/>
    </row>
    <row r="13" spans="2:7" ht="21" customHeight="1">
      <c r="B13" s="139" t="s">
        <v>3</v>
      </c>
      <c r="C13" s="140"/>
      <c r="D13" s="82" t="e">
        <f>AVERAGEA(D19:D20)</f>
        <v>#DIV/0!</v>
      </c>
      <c r="E13" s="82" t="e">
        <f>AVERAGEA(E19:E20)</f>
        <v>#DIV/0!</v>
      </c>
      <c r="F13" s="136"/>
      <c r="G13" s="129"/>
    </row>
    <row r="14" spans="2:7" s="73" customFormat="1" ht="21" customHeight="1">
      <c r="B14" s="132" t="s">
        <v>15</v>
      </c>
      <c r="C14" s="133"/>
      <c r="D14" s="74" t="e">
        <f>STDEV(D19:D20)</f>
        <v>#DIV/0!</v>
      </c>
      <c r="E14" s="74" t="e">
        <f>STDEV(E19:E20)</f>
        <v>#DIV/0!</v>
      </c>
      <c r="F14" s="136"/>
      <c r="G14" s="129"/>
    </row>
    <row r="15" spans="2:7" s="73" customFormat="1" ht="21" customHeight="1">
      <c r="B15" s="132" t="s">
        <v>16</v>
      </c>
      <c r="C15" s="133"/>
      <c r="D15" s="74" t="e">
        <f t="shared" ref="D15" si="0">(D9-D10)/(D14*6)</f>
        <v>#DIV/0!</v>
      </c>
      <c r="E15" s="74" t="e">
        <f t="shared" ref="E15" si="1">(E9-E10)/(E14*6)</f>
        <v>#DIV/0!</v>
      </c>
      <c r="F15" s="136"/>
      <c r="G15" s="129"/>
    </row>
    <row r="16" spans="2:7" s="73" customFormat="1" ht="21" customHeight="1">
      <c r="B16" s="132" t="s">
        <v>17</v>
      </c>
      <c r="C16" s="133"/>
      <c r="D16" s="74" t="e">
        <f>(D13-D10)/(D14*3)</f>
        <v>#DIV/0!</v>
      </c>
      <c r="E16" s="74" t="e">
        <f t="shared" ref="E16" si="2">(E13-E10)/(E14*3)</f>
        <v>#DIV/0!</v>
      </c>
      <c r="F16" s="136"/>
      <c r="G16" s="129"/>
    </row>
    <row r="17" spans="2:7" s="73" customFormat="1" ht="21" customHeight="1">
      <c r="B17" s="134" t="s">
        <v>18</v>
      </c>
      <c r="C17" s="135"/>
      <c r="D17" s="74" t="e">
        <f>(D9-D13)/(D14*3)</f>
        <v>#DIV/0!</v>
      </c>
      <c r="E17" s="74" t="e">
        <f t="shared" ref="E17" si="3">(E9-E13)/(E14*3)</f>
        <v>#DIV/0!</v>
      </c>
      <c r="F17" s="136"/>
      <c r="G17" s="129"/>
    </row>
    <row r="18" spans="2:7" s="73" customFormat="1" ht="21" customHeight="1">
      <c r="B18" s="80" t="s">
        <v>224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6"/>
      <c r="G18" s="130"/>
    </row>
    <row r="19" spans="2:7" ht="21" customHeight="1">
      <c r="B19" s="76" t="s">
        <v>57</v>
      </c>
      <c r="C19" s="76" t="s">
        <v>221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222</v>
      </c>
      <c r="D20" s="77"/>
      <c r="E20" s="77"/>
      <c r="F20" s="91"/>
      <c r="G20" s="77"/>
    </row>
    <row r="21" spans="2:7" ht="6" customHeight="1"/>
  </sheetData>
  <mergeCells count="17"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2025-07-04T08:07:14Z</dcterms:modified>
</cp:coreProperties>
</file>