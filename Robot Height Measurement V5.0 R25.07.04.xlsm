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2" state="hidden" r:id="rId3"/>
    <sheet name="ListSetup" sheetId="16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G1" i="161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<sst xmlns="http://schemas.openxmlformats.org/spreadsheetml/2006/main" count="774" uniqueCount="498">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</sst>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4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12" fillId="0" borderId="0">
      <alignment vertical="center"/>
    </xf>
    <xf numFmtId="0" fontId="13" fillId="0" borderId="0"/>
    <xf numFmtId="0" fontId="11" fillId="0" borderId="0"/>
    <xf numFmtId="0" fontId="10" fillId="0" borderId="0"/>
    <xf numFmtId="0" fontId="13" fillId="0" borderId="0">
      <alignment vertical="center"/>
    </xf>
    <xf numFmtId="3" fontId="22" fillId="0" borderId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2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7" fillId="3" borderId="13" xfId="5" applyNumberFormat="1" applyFont="1" applyFill="1" applyBorder="1" applyAlignment="1">
      <alignment horizontal="center" vertical="center" wrapText="1" shrinkToFit="1"/>
    </xf>
    <xf numFmtId="0" fontId="17" fillId="3" borderId="12" xfId="5" applyFont="1" applyFill="1" applyBorder="1" applyAlignment="1">
      <alignment horizontal="center" vertical="center" wrapText="1" shrinkToFit="1"/>
    </xf>
    <xf numFmtId="0" fontId="17" fillId="3" borderId="4" xfId="5" applyFont="1" applyFill="1" applyBorder="1" applyAlignment="1">
      <alignment horizontal="center" vertical="center" wrapText="1" shrinkToFit="1"/>
    </xf>
    <xf numFmtId="164" fontId="17" fillId="3" borderId="1" xfId="5" applyNumberFormat="1" applyFont="1" applyFill="1" applyBorder="1" applyAlignment="1">
      <alignment horizontal="center" vertical="center" wrapText="1" shrinkToFit="1"/>
    </xf>
    <xf numFmtId="164" fontId="17" fillId="3" borderId="14" xfId="5" applyNumberFormat="1" applyFont="1" applyFill="1" applyBorder="1" applyAlignment="1">
      <alignment horizontal="center" vertical="center" wrapText="1" shrinkToFit="1"/>
    </xf>
    <xf numFmtId="164" fontId="17" fillId="3" borderId="6" xfId="5" applyNumberFormat="1" applyFont="1" applyFill="1" applyBorder="1" applyAlignment="1">
      <alignment horizontal="center" vertical="center" wrapText="1" shrinkToFit="1"/>
    </xf>
    <xf numFmtId="164" fontId="17" fillId="3" borderId="15" xfId="5" applyNumberFormat="1" applyFont="1" applyFill="1" applyBorder="1" applyAlignment="1">
      <alignment horizontal="center" vertical="center" wrapText="1" shrinkToFit="1"/>
    </xf>
    <xf numFmtId="164" fontId="17" fillId="3" borderId="36" xfId="5" applyNumberFormat="1" applyFont="1" applyFill="1" applyBorder="1" applyAlignment="1">
      <alignment horizontal="center" vertical="center" wrapText="1" shrinkToFit="1"/>
    </xf>
    <xf numFmtId="0" fontId="17" fillId="3" borderId="1" xfId="5" applyFont="1" applyFill="1" applyBorder="1" applyAlignment="1">
      <alignment horizontal="center" vertical="center" wrapText="1" shrinkToFit="1"/>
    </xf>
    <xf numFmtId="0" fontId="17" fillId="3" borderId="13" xfId="5" applyFont="1" applyFill="1" applyBorder="1" applyAlignment="1">
      <alignment horizontal="center" vertical="center" wrapText="1" shrinkToFit="1"/>
    </xf>
    <xf numFmtId="0" fontId="17" fillId="3" borderId="19" xfId="5" applyFont="1" applyFill="1" applyBorder="1" applyAlignment="1">
      <alignment horizontal="center" vertical="center" wrapText="1" shrinkToFit="1"/>
    </xf>
    <xf numFmtId="0" fontId="15" fillId="3" borderId="17" xfId="5" applyFont="1" applyFill="1" applyBorder="1" applyAlignment="1">
      <alignment horizontal="center" vertical="center" wrapText="1"/>
    </xf>
    <xf numFmtId="0" fontId="15" fillId="3" borderId="25" xfId="5" applyFont="1" applyFill="1" applyBorder="1" applyAlignment="1">
      <alignment horizontal="center" vertical="center" wrapText="1"/>
    </xf>
    <xf numFmtId="0" fontId="20" fillId="6" borderId="35" xfId="5" applyFont="1" applyFill="1" applyBorder="1" applyAlignment="1">
      <alignment horizontal="center" vertical="center"/>
    </xf>
    <xf numFmtId="0" fontId="20" fillId="6" borderId="21" xfId="5" applyFont="1" applyFill="1" applyBorder="1" applyAlignment="1">
      <alignment horizontal="center" vertical="center"/>
    </xf>
    <xf numFmtId="164" fontId="21" fillId="6" borderId="22" xfId="5" applyNumberFormat="1" applyFont="1" applyFill="1" applyBorder="1" applyAlignment="1">
      <alignment horizontal="center" vertical="center"/>
    </xf>
    <xf numFmtId="164" fontId="21" fillId="6" borderId="23" xfId="5" applyNumberFormat="1" applyFont="1" applyFill="1" applyBorder="1" applyAlignment="1">
      <alignment horizontal="center" vertical="center"/>
    </xf>
    <xf numFmtId="164" fontId="21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4" fillId="0" borderId="0" xfId="0" applyFont="1">
      <alignment vertical="center"/>
    </xf>
    <xf numFmtId="164" fontId="24" fillId="4" borderId="0" xfId="0" applyNumberFormat="1" applyFont="1" applyFill="1">
      <alignment vertical="center"/>
    </xf>
    <xf numFmtId="0" fontId="24" fillId="4" borderId="0" xfId="0" applyFont="1" applyFill="1">
      <alignment vertical="center"/>
    </xf>
    <xf numFmtId="0" fontId="24" fillId="4" borderId="0" xfId="0" applyFont="1" applyFill="1" applyAlignment="1">
      <alignment horizontal="center" vertical="center"/>
    </xf>
    <xf numFmtId="167" fontId="24" fillId="0" borderId="0" xfId="0" applyNumberFormat="1" applyFont="1">
      <alignment vertical="center"/>
    </xf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 applyProtection="1">
      <alignment horizontal="left" vertical="center" wrapText="1"/>
      <protection locked="0"/>
    </xf>
    <xf numFmtId="0" fontId="3" fillId="0" borderId="0" xfId="15"/>
    <xf numFmtId="164" fontId="19" fillId="2" borderId="41" xfId="15" applyNumberFormat="1" applyFont="1" applyFill="1" applyBorder="1" applyAlignment="1">
      <alignment horizontal="center" vertical="center"/>
    </xf>
    <xf numFmtId="164" fontId="19" fillId="2" borderId="23" xfId="15" applyNumberFormat="1" applyFont="1" applyFill="1" applyBorder="1" applyAlignment="1">
      <alignment horizontal="center" vertical="center"/>
    </xf>
    <xf numFmtId="164" fontId="19" fillId="2" borderId="40" xfId="15" applyNumberFormat="1" applyFont="1" applyFill="1" applyBorder="1" applyAlignment="1">
      <alignment horizontal="center" vertical="center"/>
    </xf>
    <xf numFmtId="164" fontId="19" fillId="2" borderId="42" xfId="15" applyNumberFormat="1" applyFont="1" applyFill="1" applyBorder="1" applyAlignment="1">
      <alignment horizontal="center" vertical="center"/>
    </xf>
    <xf numFmtId="164" fontId="19" fillId="2" borderId="39" xfId="15" applyNumberFormat="1" applyFont="1" applyFill="1" applyBorder="1" applyAlignment="1">
      <alignment horizontal="center" vertical="center"/>
    </xf>
    <xf numFmtId="0" fontId="18" fillId="5" borderId="18" xfId="15" applyFont="1" applyFill="1" applyBorder="1" applyAlignment="1">
      <alignment horizontal="center" vertical="center"/>
    </xf>
    <xf numFmtId="164" fontId="19" fillId="2" borderId="16" xfId="15" applyNumberFormat="1" applyFont="1" applyFill="1" applyBorder="1" applyAlignment="1">
      <alignment horizontal="center" vertical="center"/>
    </xf>
    <xf numFmtId="164" fontId="19" fillId="2" borderId="1" xfId="15" applyNumberFormat="1" applyFont="1" applyFill="1" applyBorder="1" applyAlignment="1">
      <alignment horizontal="center" vertical="center"/>
    </xf>
    <xf numFmtId="164" fontId="19" fillId="2" borderId="3" xfId="15" applyNumberFormat="1" applyFont="1" applyFill="1" applyBorder="1" applyAlignment="1">
      <alignment horizontal="center" vertical="center"/>
    </xf>
    <xf numFmtId="164" fontId="19" fillId="2" borderId="37" xfId="15" applyNumberFormat="1" applyFont="1" applyFill="1" applyBorder="1" applyAlignment="1">
      <alignment horizontal="center" vertical="center"/>
    </xf>
    <xf numFmtId="164" fontId="19" fillId="2" borderId="17" xfId="15" applyNumberFormat="1" applyFont="1" applyFill="1" applyBorder="1" applyAlignment="1">
      <alignment horizontal="center" vertical="center"/>
    </xf>
    <xf numFmtId="0" fontId="18" fillId="5" borderId="17" xfId="15" applyFont="1" applyFill="1" applyBorder="1" applyAlignment="1">
      <alignment horizontal="center" vertical="center"/>
    </xf>
    <xf numFmtId="164" fontId="19" fillId="2" borderId="19" xfId="15" applyNumberFormat="1" applyFont="1" applyFill="1" applyBorder="1" applyAlignment="1">
      <alignment horizontal="center" vertical="center"/>
    </xf>
    <xf numFmtId="164" fontId="19" fillId="2" borderId="2" xfId="15" applyNumberFormat="1" applyFont="1" applyFill="1" applyBorder="1" applyAlignment="1">
      <alignment horizontal="center" vertical="center"/>
    </xf>
    <xf numFmtId="164" fontId="19" fillId="2" borderId="5" xfId="15" applyNumberFormat="1" applyFont="1" applyFill="1" applyBorder="1" applyAlignment="1">
      <alignment horizontal="center" vertical="center"/>
    </xf>
    <xf numFmtId="164" fontId="19" fillId="2" borderId="38" xfId="15" applyNumberFormat="1" applyFont="1" applyFill="1" applyBorder="1" applyAlignment="1">
      <alignment horizontal="center" vertical="center"/>
    </xf>
    <xf numFmtId="164" fontId="19" fillId="2" borderId="18" xfId="15" applyNumberFormat="1" applyFont="1" applyFill="1" applyBorder="1" applyAlignment="1">
      <alignment horizontal="center" vertical="center"/>
    </xf>
    <xf numFmtId="164" fontId="19" fillId="2" borderId="13" xfId="15" applyNumberFormat="1" applyFont="1" applyFill="1" applyBorder="1" applyAlignment="1">
      <alignment horizontal="center" vertical="center"/>
    </xf>
    <xf numFmtId="164" fontId="19" fillId="2" borderId="12" xfId="15" applyNumberFormat="1" applyFont="1" applyFill="1" applyBorder="1" applyAlignment="1">
      <alignment horizontal="center" vertical="center"/>
    </xf>
    <xf numFmtId="0" fontId="18" fillId="5" borderId="25" xfId="15" applyFont="1" applyFill="1" applyBorder="1" applyAlignment="1">
      <alignment horizontal="center" vertical="center"/>
    </xf>
    <xf numFmtId="0" fontId="14" fillId="0" borderId="34" xfId="15" applyFont="1" applyBorder="1" applyAlignment="1">
      <alignment vertical="center" wrapText="1"/>
    </xf>
    <xf numFmtId="0" fontId="14" fillId="0" borderId="33" xfId="15" applyFont="1" applyBorder="1" applyAlignment="1">
      <alignment vertical="center" wrapText="1"/>
    </xf>
    <xf numFmtId="0" fontId="14" fillId="0" borderId="32" xfId="15" applyFont="1" applyBorder="1" applyAlignment="1">
      <alignment vertical="center" wrapText="1"/>
    </xf>
    <xf numFmtId="0" fontId="14" fillId="0" borderId="10" xfId="15" applyFont="1" applyBorder="1" applyAlignment="1">
      <alignment horizontal="center" vertical="center" wrapText="1"/>
    </xf>
    <xf numFmtId="0" fontId="14" fillId="0" borderId="26" xfId="15" applyFont="1" applyBorder="1" applyAlignment="1">
      <alignment vertical="center" wrapText="1"/>
    </xf>
    <xf numFmtId="0" fontId="14" fillId="0" borderId="27" xfId="15" applyFont="1" applyBorder="1" applyAlignment="1">
      <alignment vertical="center" wrapText="1"/>
    </xf>
    <xf numFmtId="0" fontId="14" fillId="0" borderId="28" xfId="15" applyFont="1" applyBorder="1" applyAlignment="1">
      <alignment vertical="center" wrapText="1"/>
    </xf>
    <xf numFmtId="0" fontId="14" fillId="0" borderId="29" xfId="15" applyFont="1" applyBorder="1" applyAlignment="1">
      <alignment horizontal="center" vertical="top" wrapText="1"/>
    </xf>
    <xf numFmtId="0" fontId="14" fillId="0" borderId="30" xfId="15" applyFont="1" applyBorder="1" applyAlignment="1">
      <alignment vertical="center" wrapText="1"/>
    </xf>
    <xf numFmtId="0" fontId="14" fillId="0" borderId="0" xfId="15" applyFont="1" applyAlignment="1">
      <alignment vertical="center" wrapText="1"/>
    </xf>
    <xf numFmtId="0" fontId="14" fillId="0" borderId="20" xfId="15" applyFont="1" applyBorder="1" applyAlignment="1">
      <alignment vertical="center" wrapText="1"/>
    </xf>
    <xf numFmtId="0" fontId="14" fillId="0" borderId="31" xfId="15" applyFont="1" applyBorder="1" applyAlignment="1">
      <alignment horizontal="center" wrapText="1"/>
    </xf>
    <xf numFmtId="14" fontId="14" fillId="0" borderId="31" xfId="15" applyNumberFormat="1" applyFont="1" applyBorder="1" applyAlignment="1">
      <alignment horizontal="center" vertical="top" wrapText="1"/>
    </xf>
    <xf numFmtId="0" fontId="14" fillId="0" borderId="9" xfId="15" applyFont="1" applyBorder="1" applyAlignment="1">
      <alignment vertical="center" wrapText="1"/>
    </xf>
    <xf numFmtId="0" fontId="14" fillId="0" borderId="8" xfId="15" applyFont="1" applyBorder="1" applyAlignment="1">
      <alignment vertical="center" wrapText="1"/>
    </xf>
    <xf numFmtId="0" fontId="14" fillId="0" borderId="7" xfId="15" applyFont="1" applyBorder="1" applyAlignment="1">
      <alignment vertical="center" wrapText="1"/>
    </xf>
    <xf numFmtId="0" fontId="14" fillId="0" borderId="11" xfId="15" applyFont="1" applyBorder="1" applyAlignment="1">
      <alignment horizontal="center" wrapText="1"/>
    </xf>
    <xf numFmtId="0" fontId="23" fillId="0" borderId="34" xfId="15" applyFont="1" applyBorder="1" applyAlignment="1">
      <alignment vertical="center" wrapText="1"/>
    </xf>
    <xf numFmtId="0" fontId="23" fillId="0" borderId="33" xfId="15" applyFont="1" applyBorder="1" applyAlignment="1">
      <alignment vertical="center" wrapText="1"/>
    </xf>
    <xf numFmtId="0" fontId="19" fillId="0" borderId="1" xfId="0" applyFont="1" applyBorder="1" applyAlignment="1">
      <alignment horizontal="left" vertical="center" wrapText="1"/>
    </xf>
    <xf numFmtId="0" fontId="26" fillId="0" borderId="0" xfId="0" applyFont="1" applyAlignment="1"/>
    <xf numFmtId="164" fontId="27" fillId="7" borderId="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164" fontId="28" fillId="0" borderId="1" xfId="0" applyNumberFormat="1" applyFont="1" applyBorder="1" applyAlignment="1">
      <alignment horizontal="center" vertical="center" wrapText="1"/>
    </xf>
    <xf numFmtId="0" fontId="28" fillId="0" borderId="1" xfId="0" applyFont="1" applyBorder="1" applyAlignment="1">
      <alignment vertical="center" wrapText="1"/>
    </xf>
    <xf numFmtId="16" fontId="28" fillId="0" borderId="1" xfId="0" applyNumberFormat="1" applyFont="1" applyBorder="1" applyAlignment="1">
      <alignment horizontal="center" vertical="center" wrapText="1"/>
    </xf>
    <xf numFmtId="0" fontId="27" fillId="9" borderId="17" xfId="0" applyFont="1" applyFill="1" applyBorder="1" applyAlignment="1">
      <alignment horizontal="right" vertical="center"/>
    </xf>
    <xf numFmtId="2" fontId="27" fillId="9" borderId="4" xfId="0" applyNumberFormat="1" applyFont="1" applyFill="1" applyBorder="1" applyAlignment="1">
      <alignment horizontal="left" vertical="center"/>
    </xf>
    <xf numFmtId="164" fontId="29" fillId="8" borderId="1" xfId="0" applyNumberFormat="1" applyFont="1" applyFill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 wrapText="1"/>
    </xf>
    <xf numFmtId="2" fontId="29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164" fontId="27" fillId="9" borderId="1" xfId="0" applyNumberFormat="1" applyFont="1" applyFill="1" applyBorder="1" applyAlignment="1">
      <alignment horizontal="center" vertical="center"/>
    </xf>
    <xf numFmtId="164" fontId="21" fillId="6" borderId="47" xfId="5" applyNumberFormat="1" applyFont="1" applyFill="1" applyBorder="1" applyAlignment="1">
      <alignment horizontal="center" vertical="center"/>
    </xf>
    <xf numFmtId="164" fontId="21" fillId="6" borderId="48" xfId="5" applyNumberFormat="1" applyFont="1" applyFill="1" applyBorder="1" applyAlignment="1">
      <alignment horizontal="center" vertical="center"/>
    </xf>
    <xf numFmtId="164" fontId="21" fillId="6" borderId="49" xfId="5" applyNumberFormat="1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 wrapText="1"/>
    </xf>
    <xf numFmtId="164" fontId="19" fillId="0" borderId="1" xfId="0" applyNumberFormat="1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31" fillId="0" borderId="0" xfId="0" applyFont="1">
      <alignment vertical="center"/>
    </xf>
    <xf numFmtId="15" fontId="31" fillId="0" borderId="0" xfId="0" applyNumberFormat="1" applyFont="1" applyAlignment="1"/>
    <xf numFmtId="0" fontId="32" fillId="0" borderId="32" xfId="15" applyFont="1" applyBorder="1" applyAlignment="1">
      <alignment horizontal="center" vertical="center" wrapText="1"/>
    </xf>
    <xf numFmtId="15" fontId="33" fillId="0" borderId="0" xfId="0" applyNumberFormat="1" applyFont="1" applyAlignment="1"/>
    <xf numFmtId="0" fontId="31" fillId="0" borderId="0" xfId="18" applyFont="1"/>
    <xf numFmtId="166" fontId="31" fillId="0" borderId="0" xfId="18" applyNumberFormat="1" applyFont="1"/>
    <xf numFmtId="0" fontId="31" fillId="0" borderId="0" xfId="18" quotePrefix="1" applyFont="1"/>
    <xf numFmtId="0" fontId="31" fillId="0" borderId="0" xfId="18" applyFont="1" applyAlignment="1">
      <alignment horizontal="center" vertical="center"/>
    </xf>
    <xf numFmtId="0" fontId="31" fillId="0" borderId="0" xfId="18" applyFont="1" applyAlignment="1">
      <alignment vertical="center"/>
    </xf>
    <xf numFmtId="0" fontId="31" fillId="0" borderId="0" xfId="19" applyFont="1" applyAlignment="1">
      <alignment horizontal="center" vertical="center"/>
    </xf>
    <xf numFmtId="164" fontId="31" fillId="0" borderId="0" xfId="18" applyNumberFormat="1" applyFont="1"/>
    <xf numFmtId="0" fontId="31" fillId="0" borderId="0" xfId="18" applyFont="1" applyAlignment="1">
      <alignment horizontal="center"/>
    </xf>
    <xf numFmtId="0" fontId="31" fillId="0" borderId="0" xfId="19" applyFont="1" applyAlignment="1">
      <alignment horizontal="center"/>
    </xf>
    <xf numFmtId="2" fontId="31" fillId="0" borderId="0" xfId="19" applyNumberFormat="1" applyFont="1" applyAlignment="1">
      <alignment horizontal="center" vertical="center"/>
    </xf>
    <xf numFmtId="0" fontId="31" fillId="0" borderId="0" xfId="19" applyFont="1"/>
    <xf numFmtId="2" fontId="31" fillId="0" borderId="0" xfId="19" applyNumberFormat="1" applyFont="1"/>
    <xf numFmtId="0" fontId="16" fillId="3" borderId="28" xfId="5" applyFont="1" applyFill="1" applyBorder="1" applyAlignment="1">
      <alignment horizontal="center" vertical="center" wrapText="1"/>
    </xf>
    <xf numFmtId="0" fontId="16" fillId="3" borderId="27" xfId="5" applyFont="1" applyFill="1" applyBorder="1" applyAlignment="1">
      <alignment horizontal="center" vertical="center" wrapText="1"/>
    </xf>
    <xf numFmtId="0" fontId="16" fillId="3" borderId="26" xfId="5" applyFont="1" applyFill="1" applyBorder="1" applyAlignment="1">
      <alignment horizontal="center" vertical="center" wrapText="1"/>
    </xf>
    <xf numFmtId="0" fontId="14" fillId="4" borderId="11" xfId="5" applyFont="1" applyFill="1" applyBorder="1" applyAlignment="1">
      <alignment horizontal="center" vertical="center" wrapText="1"/>
    </xf>
    <xf numFmtId="0" fontId="14" fillId="4" borderId="35" xfId="5" applyFont="1" applyFill="1" applyBorder="1" applyAlignment="1">
      <alignment horizontal="center" vertical="center" wrapText="1"/>
    </xf>
    <xf numFmtId="0" fontId="14" fillId="4" borderId="43" xfId="5" applyFont="1" applyFill="1" applyBorder="1" applyAlignment="1">
      <alignment horizontal="center" vertical="center" wrapText="1"/>
    </xf>
    <xf numFmtId="0" fontId="14" fillId="4" borderId="44" xfId="5" applyFont="1" applyFill="1" applyBorder="1" applyAlignment="1">
      <alignment horizontal="center" vertical="center" wrapText="1"/>
    </xf>
    <xf numFmtId="0" fontId="15" fillId="3" borderId="32" xfId="5" applyFont="1" applyFill="1" applyBorder="1" applyAlignment="1">
      <alignment horizontal="center" vertical="center" wrapText="1"/>
    </xf>
    <xf numFmtId="0" fontId="15" fillId="3" borderId="35" xfId="5" applyFont="1" applyFill="1" applyBorder="1" applyAlignment="1">
      <alignment horizontal="center" vertical="center" wrapText="1"/>
    </xf>
    <xf numFmtId="0" fontId="14" fillId="3" borderId="11" xfId="5" applyFont="1" applyFill="1" applyBorder="1" applyAlignment="1">
      <alignment horizontal="center" vertical="center" wrapText="1"/>
    </xf>
    <xf numFmtId="0" fontId="14" fillId="3" borderId="8" xfId="5" applyFont="1" applyFill="1" applyBorder="1" applyAlignment="1">
      <alignment horizontal="center" vertical="center" wrapText="1"/>
    </xf>
    <xf numFmtId="0" fontId="14" fillId="3" borderId="9" xfId="5" applyFont="1" applyFill="1" applyBorder="1" applyAlignment="1">
      <alignment horizontal="center" vertical="center" wrapText="1"/>
    </xf>
    <xf numFmtId="0" fontId="14" fillId="3" borderId="7" xfId="5" applyFont="1" applyFill="1" applyBorder="1" applyAlignment="1">
      <alignment horizontal="center" vertical="center" wrapText="1"/>
    </xf>
    <xf numFmtId="0" fontId="29" fillId="10" borderId="3" xfId="0" applyFont="1" applyFill="1" applyBorder="1" applyAlignment="1">
      <alignment horizontal="center" vertical="center" wrapText="1"/>
    </xf>
    <xf numFmtId="0" fontId="29" fillId="10" borderId="4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45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7" fillId="7" borderId="17" xfId="0" applyFont="1" applyFill="1" applyBorder="1" applyAlignment="1">
      <alignment horizontal="center" vertical="center"/>
    </xf>
    <xf numFmtId="0" fontId="27" fillId="7" borderId="4" xfId="0" applyFont="1" applyFill="1" applyBorder="1" applyAlignment="1">
      <alignment horizontal="center" vertical="center"/>
    </xf>
    <xf numFmtId="0" fontId="27" fillId="9" borderId="17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9" fillId="3" borderId="3" xfId="0" applyFont="1" applyFill="1" applyBorder="1" applyAlignment="1">
      <alignment horizontal="center" vertical="center" wrapText="1"/>
    </xf>
    <xf numFmtId="0" fontId="29" fillId="3" borderId="4" xfId="0" applyFont="1" applyFill="1" applyBorder="1" applyAlignment="1">
      <alignment horizontal="center" vertical="center" wrapText="1"/>
    </xf>
    <xf numFmtId="0" fontId="29" fillId="8" borderId="3" xfId="0" applyFont="1" applyFill="1" applyBorder="1" applyAlignment="1">
      <alignment horizontal="center" vertical="center" wrapText="1"/>
    </xf>
    <xf numFmtId="0" fontId="29" fillId="8" borderId="4" xfId="0" applyFont="1" applyFill="1" applyBorder="1" applyAlignment="1">
      <alignment horizontal="center" vertical="center" wrapText="1"/>
    </xf>
    <xf numFmtId="0" fontId="29" fillId="0" borderId="46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</cellXfs>
  <cellStyles count="2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3" xfId="14"/>
    <cellStyle name="Normal 3 3 2" xfId="16"/>
    <cellStyle name="Normal 3 3 2 2" xfId="1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E8" sqref="E8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P8" sqref="P8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2</v>
      </c>
      <c r="C2" s="106">
        <v>1</v>
      </c>
      <c r="D2" s="106">
        <v>1</v>
      </c>
      <c r="E2" s="106">
        <v>14</v>
      </c>
      <c r="F2" s="106" t="s">
        <v>424</v>
      </c>
      <c r="GY2" s="97" t="s">
        <v>495</v>
      </c>
      <c r="GZ2" s="108">
        <v>1111</v>
      </c>
      <c r="HA2" s="108">
        <v>1</v>
      </c>
      <c r="HB2" s="108">
        <v>3</v>
      </c>
      <c r="HC2" s="108">
        <v>2</v>
      </c>
      <c r="HD2" s="108">
        <v>2</v>
      </c>
      <c r="HE2" s="108">
        <v>2</v>
      </c>
      <c r="HF2" s="108">
        <v>2</v>
      </c>
      <c r="HG2" s="108">
        <v>2</v>
      </c>
      <c r="HH2" s="108">
        <v>2</v>
      </c>
      <c r="HI2" s="108">
        <v>2</v>
      </c>
      <c r="HJ2" s="108">
        <v>2</v>
      </c>
      <c r="HK2" s="108">
        <v>2</v>
      </c>
      <c r="HL2" s="108">
        <v>2</v>
      </c>
      <c r="HM2" s="108">
        <v>2</v>
      </c>
      <c r="HN2" s="108">
        <v>2</v>
      </c>
      <c r="HO2" s="108">
        <v>2</v>
      </c>
      <c r="HP2" s="108">
        <v>1</v>
      </c>
      <c r="HQ2" s="108">
        <v>3</v>
      </c>
      <c r="HR2" s="108">
        <v>2</v>
      </c>
      <c r="HS2" s="108">
        <v>1</v>
      </c>
      <c r="HT2" s="108">
        <v>2</v>
      </c>
      <c r="HU2" s="108">
        <v>2</v>
      </c>
      <c r="HV2" s="108">
        <v>2</v>
      </c>
      <c r="HW2" s="108">
        <v>2</v>
      </c>
      <c r="HX2" s="108">
        <v>2</v>
      </c>
      <c r="HY2" s="108">
        <v>2</v>
      </c>
      <c r="HZ2" s="108">
        <v>2</v>
      </c>
      <c r="IA2" s="108">
        <v>2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1</v>
      </c>
      <c r="BYZ2" s="108">
        <v>1</v>
      </c>
      <c r="CAM2" s="108">
        <v>1</v>
      </c>
      <c r="CAN2" s="108">
        <v>1</v>
      </c>
      <c r="CAO2" s="108">
        <v>0.24</v>
      </c>
      <c r="CAP2" s="108">
        <v>0</v>
      </c>
      <c r="CAQ2" s="108">
        <v>0.129</v>
      </c>
      <c r="CAR2" s="108">
        <v>2</v>
      </c>
      <c r="CAS2" s="108">
        <v>2</v>
      </c>
      <c r="CAT2" s="108">
        <v>0.26</v>
      </c>
      <c r="CAU2" s="108">
        <v>0</v>
      </c>
      <c r="CAV2" s="108">
        <v>0.129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492</v>
      </c>
      <c r="B3" s="106">
        <v>10</v>
      </c>
      <c r="C3" s="106">
        <v>3</v>
      </c>
      <c r="D3" s="106">
        <v>10</v>
      </c>
      <c r="E3" s="106">
        <v>4</v>
      </c>
      <c r="F3" s="106" t="s">
        <v>424</v>
      </c>
      <c r="G3" s="106"/>
      <c r="GY3" s="95"/>
      <c r="BXV3" s="109">
        <v>1</v>
      </c>
      <c r="BYA3" s="103">
        <v>0</v>
      </c>
      <c r="BYD3" s="103">
        <v>0</v>
      </c>
      <c r="BYG3" s="103">
        <v>0</v>
      </c>
      <c r="BYX3" s="108">
        <v>2</v>
      </c>
      <c r="BYY3" s="108">
        <v>5</v>
      </c>
      <c r="BYZ3" s="108">
        <v>5</v>
      </c>
      <c r="CAM3" s="108">
        <v>1</v>
      </c>
      <c r="CAN3" s="108">
        <v>5</v>
      </c>
      <c r="CAO3" s="108">
        <v>0.09</v>
      </c>
      <c r="CAP3" s="108">
        <v>0</v>
      </c>
      <c r="CAQ3" s="108">
        <v>0.09</v>
      </c>
      <c r="CAR3" s="108">
        <v>6</v>
      </c>
      <c r="CAS3" s="108">
        <v>10</v>
      </c>
      <c r="CAT3" s="108">
        <v>0.09</v>
      </c>
      <c r="CAU3" s="108">
        <v>0</v>
      </c>
      <c r="CAV3" s="108">
        <v>0.09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423</v>
      </c>
      <c r="B4" s="106">
        <v>4</v>
      </c>
      <c r="C4" s="106">
        <v>1</v>
      </c>
      <c r="D4" s="106">
        <v>1</v>
      </c>
      <c r="E4" s="106">
        <v>16</v>
      </c>
      <c r="F4" s="106" t="s">
        <v>424</v>
      </c>
      <c r="G4" s="106"/>
      <c r="GY4" s="95" t="s">
        <v>425</v>
      </c>
      <c r="GZ4" s="108">
        <v>0.41</v>
      </c>
      <c r="HA4" s="108">
        <v>0.41199999999999998</v>
      </c>
      <c r="HB4" s="108">
        <v>0.46700000000000003</v>
      </c>
      <c r="HC4" s="108">
        <v>0.46800000000000003</v>
      </c>
      <c r="HD4" s="108">
        <v>0.47099999999999997</v>
      </c>
      <c r="HE4" s="108">
        <v>0.47299999999999998</v>
      </c>
      <c r="HF4" s="108">
        <v>0.41</v>
      </c>
      <c r="HG4" s="108">
        <v>0.40600000000000003</v>
      </c>
      <c r="HH4" s="108">
        <v>0.41599999999999998</v>
      </c>
      <c r="HI4" s="108">
        <v>0.41199999999999998</v>
      </c>
      <c r="HJ4" s="108">
        <v>0.46700000000000003</v>
      </c>
      <c r="HK4" s="108">
        <v>0.46600000000000003</v>
      </c>
      <c r="HL4" s="108">
        <v>0.46700000000000003</v>
      </c>
      <c r="HM4" s="108">
        <v>0.46400000000000002</v>
      </c>
      <c r="HN4" s="108">
        <v>0.41299999999999998</v>
      </c>
      <c r="HO4" s="108">
        <v>0.41</v>
      </c>
      <c r="HP4" s="108">
        <v>0.41499999999999998</v>
      </c>
      <c r="HQ4" s="108">
        <v>0.41499999999999998</v>
      </c>
      <c r="HR4" s="108">
        <v>0.46400000000000002</v>
      </c>
      <c r="HS4" s="108">
        <v>0.46100000000000002</v>
      </c>
      <c r="HT4" s="108">
        <v>0.46300000000000002</v>
      </c>
      <c r="HU4" s="108">
        <v>0.46100000000000002</v>
      </c>
      <c r="HV4" s="108">
        <v>0.41199999999999998</v>
      </c>
      <c r="HW4" s="108">
        <v>0.41</v>
      </c>
      <c r="HX4" s="108">
        <v>0.41399999999999998</v>
      </c>
      <c r="HY4" s="108">
        <v>0.40899999999999997</v>
      </c>
      <c r="HZ4" s="108">
        <v>0.45900000000000002</v>
      </c>
      <c r="IA4" s="108">
        <v>0.45400000000000001</v>
      </c>
      <c r="IB4" s="108">
        <v>0.45400000000000001</v>
      </c>
      <c r="IC4" s="108">
        <v>0.45200000000000001</v>
      </c>
      <c r="ID4" s="108">
        <v>0.40699999999999997</v>
      </c>
      <c r="IE4" s="108">
        <v>0.40600000000000003</v>
      </c>
      <c r="IF4" s="108">
        <v>0.40500000000000003</v>
      </c>
      <c r="IG4" s="108">
        <v>0.39</v>
      </c>
      <c r="IH4" s="108">
        <v>0.42299999999999999</v>
      </c>
      <c r="II4" s="108">
        <v>0.42699999999999999</v>
      </c>
      <c r="IJ4" s="108">
        <v>0.432</v>
      </c>
      <c r="IK4" s="108">
        <v>0.42899999999999999</v>
      </c>
      <c r="IL4" s="108">
        <v>0.38900000000000001</v>
      </c>
      <c r="IM4" s="108">
        <v>0.38900000000000001</v>
      </c>
      <c r="IN4" s="108">
        <v>0.39500000000000002</v>
      </c>
      <c r="IO4" s="108">
        <v>0.39200000000000002</v>
      </c>
      <c r="IP4" s="108">
        <v>0.42499999999999999</v>
      </c>
      <c r="IQ4" s="108">
        <v>0.42599999999999999</v>
      </c>
      <c r="IR4" s="108">
        <v>0.432</v>
      </c>
      <c r="IS4" s="108">
        <v>0.42899999999999999</v>
      </c>
      <c r="IT4" s="108">
        <v>0.39400000000000002</v>
      </c>
      <c r="IU4" s="108">
        <v>0.38600000000000001</v>
      </c>
      <c r="IV4" s="108">
        <v>0.39700000000000002</v>
      </c>
      <c r="IW4" s="108">
        <v>0.39600000000000002</v>
      </c>
      <c r="IX4" s="108">
        <v>0.42799999999999999</v>
      </c>
      <c r="IY4" s="108">
        <v>0.42599999999999999</v>
      </c>
      <c r="IZ4" s="108">
        <v>0.44</v>
      </c>
      <c r="JA4" s="108">
        <v>0.439</v>
      </c>
      <c r="JB4" s="108">
        <v>0.39900000000000002</v>
      </c>
      <c r="JC4" s="108">
        <v>0.39600000000000002</v>
      </c>
      <c r="JD4" s="108">
        <v>0.40899999999999997</v>
      </c>
      <c r="JE4" s="108">
        <v>0.40200000000000002</v>
      </c>
      <c r="JF4" s="108">
        <v>0.434</v>
      </c>
      <c r="JG4" s="108">
        <v>0.434</v>
      </c>
      <c r="JH4" s="108">
        <v>0.442</v>
      </c>
      <c r="JI4" s="108">
        <v>0.44500000000000001</v>
      </c>
      <c r="JJ4" s="108">
        <v>0.40500000000000003</v>
      </c>
      <c r="JK4" s="108">
        <v>0.39900000000000002</v>
      </c>
      <c r="BXV4" s="109">
        <v>1</v>
      </c>
      <c r="BXW4" s="108" t="s">
        <v>404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0.11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427</v>
      </c>
      <c r="B5" s="106">
        <v>3</v>
      </c>
      <c r="C5" s="106">
        <v>1</v>
      </c>
      <c r="D5" s="106">
        <v>1</v>
      </c>
      <c r="E5" s="106">
        <v>24</v>
      </c>
      <c r="F5" s="106" t="s">
        <v>424</v>
      </c>
      <c r="GY5" s="95" t="s">
        <v>428</v>
      </c>
      <c r="GZ5" s="108">
        <v>0.26700000000000002</v>
      </c>
      <c r="HA5" s="108">
        <v>0.26900000000000002</v>
      </c>
      <c r="HB5" s="108">
        <v>0.22800000000000001</v>
      </c>
      <c r="HC5" s="108">
        <v>0.25800000000000001</v>
      </c>
      <c r="HD5" s="108">
        <v>0.25700000000000001</v>
      </c>
      <c r="HE5" s="108">
        <v>0.23799999999999999</v>
      </c>
      <c r="HF5" s="108">
        <v>0.249</v>
      </c>
      <c r="HG5" s="108">
        <v>0.249</v>
      </c>
      <c r="HH5" s="108">
        <v>0.20699999999999999</v>
      </c>
      <c r="HI5" s="108">
        <v>0.23699999999999999</v>
      </c>
      <c r="HJ5" s="108">
        <v>0.22500000000000001</v>
      </c>
      <c r="HK5" s="108">
        <v>0.19800000000000001</v>
      </c>
      <c r="HL5" s="108">
        <v>0.16</v>
      </c>
      <c r="HM5" s="108">
        <v>0.222</v>
      </c>
      <c r="HN5" s="108">
        <v>0.187</v>
      </c>
      <c r="HO5" s="108">
        <v>0.22</v>
      </c>
      <c r="HP5" s="108">
        <v>0.214</v>
      </c>
      <c r="HQ5" s="108">
        <v>0.17699999999999999</v>
      </c>
      <c r="HR5" s="108">
        <v>0.2</v>
      </c>
      <c r="HS5" s="108">
        <v>0.2</v>
      </c>
      <c r="HT5" s="108">
        <v>0.13</v>
      </c>
      <c r="HU5" s="108">
        <v>0.189</v>
      </c>
      <c r="HV5" s="108">
        <v>0.183</v>
      </c>
      <c r="HW5" s="108">
        <v>0.152</v>
      </c>
      <c r="HX5" s="108">
        <v>0.17799999999999999</v>
      </c>
      <c r="HY5" s="108">
        <v>0.17699999999999999</v>
      </c>
      <c r="HZ5" s="108">
        <v>0.14299999999999999</v>
      </c>
      <c r="IA5" s="108">
        <v>0.16700000000000001</v>
      </c>
      <c r="IB5" s="108">
        <v>0.16300000000000001</v>
      </c>
      <c r="IC5" s="108">
        <v>9.0999999999999998E-2</v>
      </c>
      <c r="ID5" s="108">
        <v>8.5999999999999993E-2</v>
      </c>
      <c r="IE5" s="108">
        <v>0.14799999999999999</v>
      </c>
      <c r="IF5" s="108">
        <v>0.115</v>
      </c>
      <c r="IG5" s="108">
        <v>0.14299999999999999</v>
      </c>
      <c r="IH5" s="108">
        <v>0.13900000000000001</v>
      </c>
      <c r="II5" s="108">
        <v>0.104</v>
      </c>
      <c r="IJ5" s="108">
        <v>0.27100000000000002</v>
      </c>
      <c r="IK5" s="108">
        <v>0.25800000000000001</v>
      </c>
      <c r="IL5" s="108">
        <v>0.223</v>
      </c>
      <c r="IM5" s="108">
        <v>0.26</v>
      </c>
      <c r="IN5" s="108">
        <v>0.252</v>
      </c>
      <c r="IO5" s="108">
        <v>0.215</v>
      </c>
      <c r="IP5" s="108">
        <v>0.252</v>
      </c>
      <c r="IQ5" s="108">
        <v>0.247</v>
      </c>
      <c r="IR5" s="108">
        <v>0.20899999999999999</v>
      </c>
      <c r="IS5" s="108">
        <v>0.24299999999999999</v>
      </c>
      <c r="IT5" s="108">
        <v>0.23599999999999999</v>
      </c>
      <c r="IU5" s="108">
        <v>0.2</v>
      </c>
      <c r="IV5" s="108">
        <v>0.23599999999999999</v>
      </c>
      <c r="IW5" s="108">
        <v>0.23100000000000001</v>
      </c>
      <c r="IX5" s="108">
        <v>0.19500000000000001</v>
      </c>
      <c r="IY5" s="108">
        <v>0.22800000000000001</v>
      </c>
      <c r="IZ5" s="108">
        <v>0.23400000000000001</v>
      </c>
      <c r="JA5" s="108">
        <v>0.19700000000000001</v>
      </c>
      <c r="JB5" s="108">
        <v>0.224</v>
      </c>
      <c r="JC5" s="108">
        <v>0.22600000000000001</v>
      </c>
      <c r="JD5" s="108">
        <v>0.188</v>
      </c>
      <c r="JE5" s="108">
        <v>0.218</v>
      </c>
      <c r="JF5" s="108">
        <v>0.218</v>
      </c>
      <c r="JG5" s="108">
        <v>0.18099999999999999</v>
      </c>
      <c r="JH5" s="108">
        <v>0.21099999999999999</v>
      </c>
      <c r="JI5" s="108">
        <v>0.21199999999999999</v>
      </c>
      <c r="JJ5" s="108">
        <v>0.17199999999999999</v>
      </c>
      <c r="JK5" s="108">
        <v>0.21099999999999999</v>
      </c>
      <c r="JL5" s="108">
        <v>0.20599999999999999</v>
      </c>
      <c r="JM5" s="108">
        <v>0.155</v>
      </c>
      <c r="JN5" s="108">
        <v>0.193</v>
      </c>
      <c r="JO5" s="108">
        <v>0.19900000000000001</v>
      </c>
      <c r="JP5" s="108">
        <v>0.16</v>
      </c>
      <c r="JQ5" s="108">
        <v>0.193</v>
      </c>
      <c r="JR5" s="108">
        <v>0.184</v>
      </c>
      <c r="JS5" s="108">
        <v>0.14399999999999999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2</v>
      </c>
      <c r="BYY5" s="108">
        <v>2</v>
      </c>
      <c r="BYZ5" s="108">
        <v>1</v>
      </c>
      <c r="CAM5" s="108">
        <v>1</v>
      </c>
      <c r="CAN5" s="108">
        <v>2</v>
      </c>
      <c r="CAO5" s="108">
        <v>0.12</v>
      </c>
      <c r="CAP5" s="108">
        <v>0.01</v>
      </c>
      <c r="CAQ5" s="108">
        <v>8.8999999999999996E-2</v>
      </c>
      <c r="CAR5" s="108">
        <v>3</v>
      </c>
      <c r="CAS5" s="108">
        <v>3</v>
      </c>
      <c r="CAT5" s="108">
        <v>0.12</v>
      </c>
      <c r="CAU5" s="108">
        <v>0.01</v>
      </c>
      <c r="CAV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463</v>
      </c>
      <c r="B2" s="98" t="s">
        <v>380</v>
      </c>
      <c r="C2" s="99">
        <v>45568.30341</v>
      </c>
      <c r="D2" s="98">
        <v>3</v>
      </c>
      <c r="E2" s="98">
        <v>6</v>
      </c>
      <c r="F2" s="98">
        <v>5</v>
      </c>
      <c r="G2" s="98">
        <v>18</v>
      </c>
      <c r="H2" s="104">
        <v>0.59</v>
      </c>
      <c r="I2" s="104">
        <v>0.59</v>
      </c>
      <c r="J2" s="104">
        <v>0.59</v>
      </c>
      <c r="K2" s="104">
        <v>0.59</v>
      </c>
      <c r="L2" s="104">
        <v>0.64</v>
      </c>
      <c r="T2" s="104">
        <v>0.49</v>
      </c>
      <c r="U2" s="104">
        <v>0.49</v>
      </c>
      <c r="V2" s="104">
        <v>0.49</v>
      </c>
      <c r="W2" s="104">
        <v>0.49</v>
      </c>
      <c r="X2" s="104">
        <v>0.54</v>
      </c>
      <c r="AF2" s="98" t="s">
        <v>383</v>
      </c>
      <c r="AG2" s="98" t="s">
        <v>384</v>
      </c>
      <c r="AH2" s="98" t="s">
        <v>386</v>
      </c>
      <c r="AI2" s="98" t="s">
        <v>385</v>
      </c>
      <c r="AJ2" s="98" t="s">
        <v>381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M2" s="93" t="s">
        <v>190</v>
      </c>
      <c r="BN2" s="94" t="s">
        <v>213</v>
      </c>
      <c r="BO2" s="94" t="s">
        <v>191</v>
      </c>
      <c r="BP2" s="94"/>
      <c r="BQ2" s="98" t="s">
        <v>404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464</v>
      </c>
      <c r="B3" s="98" t="s">
        <v>380</v>
      </c>
      <c r="C3" s="99">
        <v>45522.401729999998</v>
      </c>
      <c r="D3" s="98">
        <v>1</v>
      </c>
      <c r="E3" s="98">
        <v>16</v>
      </c>
      <c r="F3" s="98">
        <v>7</v>
      </c>
      <c r="G3" s="98">
        <v>16</v>
      </c>
      <c r="H3" s="104">
        <v>0.71</v>
      </c>
      <c r="I3" s="104">
        <v>0.42</v>
      </c>
      <c r="J3" s="104">
        <v>0.42</v>
      </c>
      <c r="K3" s="104">
        <v>0.46</v>
      </c>
      <c r="L3" s="104">
        <v>0.46</v>
      </c>
      <c r="M3" s="104">
        <v>0.71</v>
      </c>
      <c r="N3" s="104">
        <v>0.71</v>
      </c>
      <c r="T3" s="104">
        <v>0.65</v>
      </c>
      <c r="U3" s="104">
        <v>0.36</v>
      </c>
      <c r="V3" s="104">
        <v>0.36</v>
      </c>
      <c r="W3" s="104">
        <v>0.4</v>
      </c>
      <c r="X3" s="104">
        <v>0.4</v>
      </c>
      <c r="Y3" s="104">
        <v>0.65</v>
      </c>
      <c r="Z3" s="104">
        <v>0.65</v>
      </c>
      <c r="AF3" s="98" t="s">
        <v>389</v>
      </c>
      <c r="AG3" s="98" t="s">
        <v>383</v>
      </c>
      <c r="AH3" s="98" t="s">
        <v>385</v>
      </c>
      <c r="AI3" s="98" t="s">
        <v>384</v>
      </c>
      <c r="AJ3" s="98" t="s">
        <v>386</v>
      </c>
      <c r="AK3" s="98" t="s">
        <v>390</v>
      </c>
      <c r="AL3" s="98" t="s">
        <v>465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491</v>
      </c>
      <c r="XFB3" s="105" t="s">
        <v>158</v>
      </c>
    </row>
    <row r="4" spans="1:743 16382:16384">
      <c r="A4" s="98" t="s">
        <v>422</v>
      </c>
      <c r="B4" s="98" t="s">
        <v>401</v>
      </c>
      <c r="C4" s="99">
        <v>45517.842239999998</v>
      </c>
      <c r="D4" s="98">
        <v>3</v>
      </c>
      <c r="E4" s="98">
        <v>10</v>
      </c>
      <c r="F4" s="98">
        <v>4</v>
      </c>
      <c r="G4" s="98">
        <v>30</v>
      </c>
      <c r="H4" s="104">
        <v>1</v>
      </c>
      <c r="I4" s="104">
        <v>1</v>
      </c>
      <c r="J4" s="104">
        <v>1</v>
      </c>
      <c r="K4" s="104">
        <v>1</v>
      </c>
      <c r="T4" s="104">
        <v>0.5</v>
      </c>
      <c r="U4" s="104">
        <v>0.5</v>
      </c>
      <c r="V4" s="104">
        <v>0.5</v>
      </c>
      <c r="W4" s="104">
        <v>0.8</v>
      </c>
      <c r="AF4" s="98" t="s">
        <v>392</v>
      </c>
      <c r="AG4" s="98" t="s">
        <v>393</v>
      </c>
      <c r="AH4" s="98" t="s">
        <v>381</v>
      </c>
      <c r="AI4" s="98" t="s">
        <v>421</v>
      </c>
      <c r="AR4" s="98">
        <v>-0.1</v>
      </c>
      <c r="AS4" s="98">
        <v>-0.1</v>
      </c>
      <c r="AT4" s="98">
        <v>-0.1</v>
      </c>
      <c r="AU4" s="98">
        <v>-0.1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156</v>
      </c>
      <c r="B5" s="98" t="s">
        <v>401</v>
      </c>
      <c r="C5" s="99">
        <v>45017.625079999998</v>
      </c>
      <c r="D5" s="98">
        <v>12</v>
      </c>
      <c r="E5" s="98">
        <v>1</v>
      </c>
      <c r="F5" s="98">
        <v>7</v>
      </c>
      <c r="G5" s="98">
        <v>12</v>
      </c>
      <c r="H5" s="104">
        <v>0.48</v>
      </c>
      <c r="I5" s="104">
        <v>0.54</v>
      </c>
      <c r="J5" s="104">
        <v>0.54</v>
      </c>
      <c r="K5" s="104">
        <v>0.88</v>
      </c>
      <c r="L5" s="104">
        <v>0.88</v>
      </c>
      <c r="M5" s="104">
        <v>0.88</v>
      </c>
      <c r="N5" s="104">
        <v>0.88</v>
      </c>
      <c r="T5" s="104">
        <v>0.42</v>
      </c>
      <c r="U5" s="104">
        <v>0.44</v>
      </c>
      <c r="V5" s="104">
        <v>0.44</v>
      </c>
      <c r="W5" s="104">
        <v>0.78</v>
      </c>
      <c r="X5" s="104">
        <v>0.78</v>
      </c>
      <c r="Y5" s="104">
        <v>0.78</v>
      </c>
      <c r="Z5" s="104">
        <v>0.78</v>
      </c>
      <c r="AF5" s="98" t="s">
        <v>381</v>
      </c>
      <c r="AG5" s="98" t="s">
        <v>402</v>
      </c>
      <c r="AH5" s="98" t="s">
        <v>403</v>
      </c>
      <c r="AI5" s="98" t="s">
        <v>383</v>
      </c>
      <c r="AJ5" s="98" t="s">
        <v>385</v>
      </c>
      <c r="AK5" s="98" t="s">
        <v>384</v>
      </c>
      <c r="AL5" s="98" t="s">
        <v>386</v>
      </c>
      <c r="AR5" s="98">
        <v>0</v>
      </c>
      <c r="AS5" s="98">
        <v>0</v>
      </c>
      <c r="AT5" s="98">
        <v>0</v>
      </c>
      <c r="AU5" s="98">
        <v>0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493</v>
      </c>
      <c r="C2" s="125"/>
      <c r="D2" s="129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29"/>
      <c r="E3" s="76"/>
      <c r="F3" s="76"/>
      <c r="G3" s="76"/>
    </row>
    <row r="4" spans="2:7" ht="28.5" customHeight="1">
      <c r="B4" s="125"/>
      <c r="C4" s="125"/>
      <c r="D4" s="129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41" t="s">
        <v>216</v>
      </c>
      <c r="C6" s="142"/>
      <c r="D6" s="78"/>
      <c r="E6" s="78"/>
      <c r="F6" s="78"/>
      <c r="G6" s="78"/>
    </row>
    <row r="7" spans="2:7" ht="28.5" customHeight="1">
      <c r="B7" s="139" t="s">
        <v>217</v>
      </c>
      <c r="C7" s="140"/>
      <c r="D7" s="85" t="s">
        <v>219</v>
      </c>
      <c r="E7" s="85" t="s">
        <v>218</v>
      </c>
      <c r="F7" s="134" t="s">
        <v>220</v>
      </c>
      <c r="G7" s="126" t="s">
        <v>225</v>
      </c>
    </row>
    <row r="8" spans="2:7" ht="21" customHeight="1">
      <c r="B8" s="123" t="s">
        <v>317</v>
      </c>
      <c r="C8" s="124"/>
      <c r="D8" s="90"/>
      <c r="E8" s="90"/>
      <c r="F8" s="134"/>
      <c r="G8" s="127"/>
    </row>
    <row r="9" spans="2:7" ht="21" customHeight="1">
      <c r="B9" s="135" t="s">
        <v>11</v>
      </c>
      <c r="C9" s="136"/>
      <c r="D9" s="83"/>
      <c r="E9" s="83"/>
      <c r="F9" s="134"/>
      <c r="G9" s="127"/>
    </row>
    <row r="10" spans="2:7" ht="21" customHeight="1">
      <c r="B10" s="135" t="s">
        <v>12</v>
      </c>
      <c r="C10" s="136"/>
      <c r="D10" s="84"/>
      <c r="E10" s="84"/>
      <c r="F10" s="134"/>
      <c r="G10" s="127"/>
    </row>
    <row r="11" spans="2:7" ht="21" customHeight="1">
      <c r="B11" s="137" t="s">
        <v>1</v>
      </c>
      <c r="C11" s="138"/>
      <c r="D11" s="82">
        <f>MAX(D19:D20)</f>
        <v>0</v>
      </c>
      <c r="E11" s="82">
        <f>MAX(E19:E20)</f>
        <v>0</v>
      </c>
      <c r="F11" s="134"/>
      <c r="G11" s="127"/>
    </row>
    <row r="12" spans="2:7" ht="21" customHeight="1">
      <c r="B12" s="137" t="s">
        <v>2</v>
      </c>
      <c r="C12" s="138"/>
      <c r="D12" s="82">
        <f>MIN(D19:D20)</f>
        <v>0</v>
      </c>
      <c r="E12" s="82">
        <f>MIN(E19:E20)</f>
        <v>0</v>
      </c>
      <c r="F12" s="134"/>
      <c r="G12" s="127"/>
    </row>
    <row r="13" spans="2:7" ht="21" customHeight="1">
      <c r="B13" s="137" t="s">
        <v>3</v>
      </c>
      <c r="C13" s="138"/>
      <c r="D13" s="82" t="e">
        <f>AVERAGEA(D19:D20)</f>
        <v>#DIV/0!</v>
      </c>
      <c r="E13" s="82" t="e">
        <f>AVERAGEA(E19:E20)</f>
        <v>#DIV/0!</v>
      </c>
      <c r="F13" s="134"/>
      <c r="G13" s="127"/>
    </row>
    <row r="14" spans="2:7" s="73" customFormat="1" ht="21" customHeight="1">
      <c r="B14" s="130" t="s">
        <v>15</v>
      </c>
      <c r="C14" s="131"/>
      <c r="D14" s="74" t="e">
        <f>STDEV(D19:D20)</f>
        <v>#DIV/0!</v>
      </c>
      <c r="E14" s="74" t="e">
        <f>STDEV(E19:E20)</f>
        <v>#DIV/0!</v>
      </c>
      <c r="F14" s="134"/>
      <c r="G14" s="127"/>
    </row>
    <row r="15" spans="2:7" s="73" customFormat="1" ht="21" customHeight="1">
      <c r="B15" s="130" t="s">
        <v>16</v>
      </c>
      <c r="C15" s="131"/>
      <c r="D15" s="74" t="e">
        <f t="shared" ref="D15" si="0">(D9-D10)/(D14*6)</f>
        <v>#DIV/0!</v>
      </c>
      <c r="E15" s="74" t="e">
        <f t="shared" ref="E15" si="1">(E9-E10)/(E14*6)</f>
        <v>#DIV/0!</v>
      </c>
      <c r="F15" s="134"/>
      <c r="G15" s="127"/>
    </row>
    <row r="16" spans="2:7" s="73" customFormat="1" ht="21" customHeight="1">
      <c r="B16" s="130" t="s">
        <v>17</v>
      </c>
      <c r="C16" s="131"/>
      <c r="D16" s="74" t="e">
        <f>(D13-D10)/(D14*3)</f>
        <v>#DIV/0!</v>
      </c>
      <c r="E16" s="74" t="e">
        <f t="shared" ref="E16" si="2">(E13-E10)/(E14*3)</f>
        <v>#DIV/0!</v>
      </c>
      <c r="F16" s="134"/>
      <c r="G16" s="127"/>
    </row>
    <row r="17" spans="2:7" s="73" customFormat="1" ht="21" customHeight="1">
      <c r="B17" s="132" t="s">
        <v>18</v>
      </c>
      <c r="C17" s="133"/>
      <c r="D17" s="74" t="e">
        <f>(D9-D13)/(D14*3)</f>
        <v>#DIV/0!</v>
      </c>
      <c r="E17" s="74" t="e">
        <f t="shared" ref="E17" si="3">(E9-E13)/(E14*3)</f>
        <v>#DIV/0!</v>
      </c>
      <c r="F17" s="134"/>
      <c r="G17" s="127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4"/>
      <c r="G18" s="128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2025-07-04T11:37:17Z</dcterms:modified>
</cp:coreProperties>
</file>