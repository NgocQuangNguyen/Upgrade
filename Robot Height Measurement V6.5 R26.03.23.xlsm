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H18" i="155" l="1"/>
  <c r="H21" i="155" s="1"/>
  <c r="I18" i="155"/>
  <c r="J18" i="155"/>
  <c r="H19" i="155"/>
  <c r="H20" i="155" s="1"/>
  <c r="H23" i="155" s="1"/>
  <c r="I19" i="155"/>
  <c r="I22" i="155" s="1"/>
  <c r="J19" i="155"/>
  <c r="J20" i="155"/>
  <c r="J23" i="155" s="1"/>
  <c r="J21" i="155"/>
  <c r="H22" i="155"/>
  <c r="J22" i="155"/>
  <c r="D18" i="155"/>
  <c r="D21" i="155" s="1"/>
  <c r="E18" i="155"/>
  <c r="F18" i="155"/>
  <c r="F21" i="155" s="1"/>
  <c r="D19" i="155"/>
  <c r="E19" i="155"/>
  <c r="E21" i="155" s="1"/>
  <c r="F19" i="155"/>
  <c r="D20" i="155"/>
  <c r="D23" i="155" s="1"/>
  <c r="F20" i="155"/>
  <c r="D22" i="155"/>
  <c r="E22" i="155"/>
  <c r="F22" i="155"/>
  <c r="F23" i="155"/>
  <c r="H12" i="155"/>
  <c r="I12" i="155"/>
  <c r="I15" i="155" s="1"/>
  <c r="H13" i="155"/>
  <c r="H14" i="155" s="1"/>
  <c r="I13" i="155"/>
  <c r="I14" i="155"/>
  <c r="H15" i="155"/>
  <c r="H16" i="155"/>
  <c r="I16" i="155"/>
  <c r="H17" i="155"/>
  <c r="I17" i="155"/>
  <c r="J13" i="155"/>
  <c r="J12" i="155"/>
  <c r="I20" i="155" l="1"/>
  <c r="I23" i="155" s="1"/>
  <c r="I21" i="155"/>
  <c r="E20" i="155"/>
  <c r="E23" i="155" s="1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D14" i="155" s="1"/>
  <c r="E12" i="155"/>
  <c r="F12" i="155"/>
  <c r="D13" i="155"/>
  <c r="E13" i="155"/>
  <c r="F13" i="155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D15" i="155" l="1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<sst xmlns="http://schemas.openxmlformats.org/spreadsheetml/2006/main" count="767" uniqueCount="489">
  <si>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</si>
  <si>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</si>
  <si>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</si>
  <si>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</si>
  <si>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</si>
  <si>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</si>
  <si>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</si>
  <si>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</si>
  <si>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</si>
  <si>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</si>
  <si>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</si>
  <si>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</si>
  <si>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</si>
  <si>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</si>
  <si>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</si>
  <si>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</si>
  <si>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</si>
  <si>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</si>
  <si>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</si>
  <si>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</si>
  <si>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</si>
  <si>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</si>
  <si>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</si>
  <si>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</si>
  <si>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</si>
  <si>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</si>
  <si>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</si>
  <si>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</si>
  <si>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</si>
  <si>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</si>
  <si>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</si>
  <si>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</si>
  <si>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</si>
  <si>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</si>
  <si>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</si>
  <si>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</si>
  <si>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</si>
  <si>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</si>
  <si>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</si>
  <si>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</si>
  <si>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</si>
  <si>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</si>
  <si>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</si>
  <si>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</si>
  <si>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</si>
  <si>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</si>
  <si>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</si>
  <si>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</si>
  <si>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</si>
  <si>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</si>
  <si>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</si>
  <si>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</si>
  <si>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</si>
  <si>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</si>
  <si>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</si>
  <si>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</si>
  <si>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</si>
  <si>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</si>
  <si>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</si>
  <si>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</si>
  <si>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</si>
  <si>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</si>
  <si>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</si>
  <si>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</si>
  <si>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</si>
  <si>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</si>
  <si>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</si>
  <si>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</si>
  <si>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</si>
  <si>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</si>
  <si>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</si>
  <si>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</si>
  <si>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</si>
  <si>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</si>
  <si>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</si>
  <si>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</si>
  <si>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</si>
  <si>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</si>
  <si>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</si>
  <si>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</si>
  <si>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</si>
  <si>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</si>
  <si>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</si>
  <si>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</si>
  <si>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</si>
  <si>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</si>
  <si>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</si>
  <si>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</si>
  <si>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</si>
  <si>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</si>
  <si>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</si>
  <si>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</si>
  <si>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</si>
  <si>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</si>
  <si>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</si>
  <si>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</si>
  <si>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</si>
  <si>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</si>
  <si>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</si>
  <si>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</si>
  <si>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</si>
  <si>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</si>
  <si>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</si>
  <si>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</si>
  <si>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</si>
  <si>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</si>
  <si>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</si>
  <si>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</si>
  <si>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</si>
  <si>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</si>
  <si>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</si>
  <si>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</si>
  <si>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</si>
  <si>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</si>
  <si>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</si>
  <si>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</si>
  <si>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</si>
  <si>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</si>
  <si>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</si>
  <si>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</si>
  <si>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</si>
  <si>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</si>
  <si>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</si>
  <si>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</si>
  <si>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</si>
  <si>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</si>
  <si>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</si>
  <si>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</si>
  <si>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</si>
  <si>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</si>
  <si>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</si>
  <si>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</si>
  <si>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</si>
  <si>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</si>
  <si>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</si>
  <si>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</si>
  <si>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</si>
  <si>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</si>
  <si>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</si>
  <si>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</si>
  <si>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</si>
  <si>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</si>
  <si>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</si>
  <si>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</si>
  <si>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</si>
  <si>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</si>
  <si>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</si>
  <si>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</si>
  <si>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</si>
  <si>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</si>
  <si>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</si>
  <si>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</si>
  <si>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</si>
  <si>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</si>
  <si>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</si>
  <si>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</si>
  <si>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</si>
  <si>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</si>
  <si>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</si>
  <si>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</si>
  <si>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</si>
  <si>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</si>
  <si>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</si>
  <si>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</si>
  <si>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</si>
  <si>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</si>
  <si>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</si>
  <si>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</si>
  <si>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</si>
  <si>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</si>
  <si>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</si>
  <si>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</si>
  <si>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</si>
  <si>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</si>
  <si>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</si>
  <si>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</si>
  <si>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</si>
  <si>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</si>
  <si>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</si>
  <si>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</si>
  <si>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</si>
  <si>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</si>
  <si>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</si>
  <si>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</si>
  <si>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</si>
  <si>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</si>
  <si>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</si>
  <si>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</si>
  <si>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</si>
  <si>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</si>
  <si>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</si>
  <si>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</si>
  <si>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</si>
  <si>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</si>
  <si>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</si>
  <si>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</si>
  <si>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</si>
  <si>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</si>
  <si>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</si>
  <si>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</si>
  <si>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</si>
  <si>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</si>
  <si>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</si>
  <si>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</si>
  <si>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</si>
  <si>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</si>
  <si>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</si>
  <si>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</si>
  <si>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</si>
  <si>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</si>
  <si>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</si>
  <si>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</si>
  <si>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</si>
  <si>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</si>
  <si>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</si>
  <si>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</si>
  <si>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</si>
  <si>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</si>
  <si>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</si>
  <si>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</si>
  <si>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</si>
  <si>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</si>
  <si>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</si>
  <si>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</si>
  <si>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</si>
  <si>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</si>
  <si>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</si>
  <si>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</si>
  <si>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</si>
  <si>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</si>
  <si>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</si>
  <si>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</si>
  <si>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</si>
  <si>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</si>
  <si>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</si>
  <si>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</si>
  <si>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</si>
  <si>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</si>
  <si>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</si>
  <si>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</si>
  <si>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</si>
  <si>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</si>
  <si>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</si>
  <si>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</si>
  <si>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</si>
  <si>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</si>
  <si>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</si>
  <si>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</si>
  <si>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</si>
  <si>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</si>
  <si>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</si>
  <si>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</si>
  <si>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</si>
  <si>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</si>
  <si>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</si>
  <si>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</si>
  <si>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</si>
  <si>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</si>
  <si>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</si>
  <si>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</si>
  <si>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</si>
  <si>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</si>
  <si>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</si>
  <si>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</si>
  <si>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</si>
  <si>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</si>
  <si>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</si>
  <si>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</si>
  <si>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</si>
  <si>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</si>
  <si>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</si>
  <si>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</si>
  <si>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</si>
  <si>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</si>
  <si>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</si>
  <si>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</si>
  <si>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</si>
  <si>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</si>
  <si>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</si>
  <si>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</si>
  <si>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</si>
  <si>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</si>
  <si>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</si>
  <si>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</si>
  <si>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</si>
  <si>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</si>
  <si>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</si>
  <si>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</si>
  <si>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</si>
  <si>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</si>
  <si>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</si>
  <si>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</si>
  <si>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</si>
  <si>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</si>
  <si>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</si>
  <si>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</si>
  <si>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</si>
  <si>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</si>
  <si>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</si>
  <si>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</si>
  <si>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</si>
  <si>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</si>
  <si>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</si>
  <si>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</si>
  <si>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</si>
  <si>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</si>
  <si>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</si>
  <si>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</si>
  <si>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</si>
  <si>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</si>
  <si>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</si>
  <si>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</si>
  <si>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</si>
  <si>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</si>
  <si>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</si>
  <si>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</si>
  <si>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</si>
  <si>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</si>
  <si>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</si>
  <si>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</si>
  <si>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</si>
  <si>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</si>
  <si>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</si>
  <si>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</si>
  <si>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</si>
  <si>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</si>
  <si>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</si>
  <si>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</si>
  <si>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</si>
  <si>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</si>
  <si>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</si>
  <si>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</si>
  <si>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</si>
  <si>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</si>
  <si>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</si>
  <si>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</si>
  <si>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</si>
  <si>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</si>
  <si>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</si>
  <si>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</si>
  <si>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</si>
  <si>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</si>
  <si>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</si>
  <si>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</si>
  <si>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</si>
  <si>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</si>
  <si>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</si>
  <si>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</si>
  <si>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</si>
  <si>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</si>
  <si>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</si>
  <si>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</si>
  <si>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</si>
  <si>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</si>
  <si>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</si>
  <si>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</si>
  <si>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</si>
  <si>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</si>
  <si>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</si>
  <si>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</si>
  <si>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</si>
  <si>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</si>
  <si>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</si>
  <si>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</si>
  <si>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</si>
  <si>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</si>
  <si>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</si>
  <si>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</si>
  <si>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</si>
  <si>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</si>
  <si>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</si>
  <si>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</si>
  <si>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</si>
  <si>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</si>
  <si>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</si>
  <si>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</si>
  <si>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</si>
  <si>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</si>
  <si>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</si>
  <si>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</si>
  <si>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</si>
  <si>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</si>
  <si>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</si>
  <si>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</si>
  <si>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</si>
  <si>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</si>
  <si>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</si>
  <si>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</si>
  <si>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</si>
  <si>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</si>
  <si>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</si>
  <si>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</si>
  <si>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</si>
  <si>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</si>
  <si>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</si>
  <si>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</si>
  <si>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</si>
  <si>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</si>
  <si>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</si>
  <si>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</si>
  <si>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</si>
  <si>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</si>
  <si>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</si>
  <si>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</si>
  <si>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</si>
  <si>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</si>
  <si>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</si>
  <si>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</si>
  <si>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</si>
  <si>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</si>
  <si>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</si>
  <si>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</si>
  <si>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</si>
  <si>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</si>
  <si>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</si>
  <si>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</si>
  <si>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</si>
  <si>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</si>
  <si>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</si>
  <si>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</si>
  <si>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</si>
  <si>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</si>
  <si>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</si>
  <si>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</si>
  <si>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</si>
  <si>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</si>
  <si>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</si>
  <si>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</si>
  <si>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</si>
  <si>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</si>
  <si>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</si>
  <si>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</si>
  <si>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</si>
  <si>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</si>
  <si>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</si>
  <si>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</si>
  <si>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</si>
  <si>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</si>
  <si>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</si>
  <si>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</si>
  <si>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</si>
  <si>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</si>
  <si>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</si>
  <si>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</si>
  <si>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</si>
  <si>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</si>
  <si>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</si>
  <si>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</si>
  <si>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</si>
  <si>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</si>
  <si>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</si>
  <si>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</si>
  <si>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</si>
  <si>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</si>
  <si>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</si>
  <si>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</si>
  <si>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</si>
  <si>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</si>
  <si>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</si>
  <si>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</si>
  <si>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</si>
  <si>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</si>
  <si>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</si>
  <si>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</si>
  <si>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</si>
  <si>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</si>
  <si>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</si>
  <si>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</si>
  <si>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</si>
  <si>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</si>
  <si>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Point1</t>
  </si>
  <si>
    <t>C</t>
  </si>
  <si>
    <t>D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</si>
  <si>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</si>
  <si>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</si>
  <si>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</si>
  <si>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</si>
  <si>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</si>
  <si>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</si>
  <si>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</si>
  <si>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</si>
  <si>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</si>
  <si>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</si>
  <si>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</si>
  <si>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</si>
  <si>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</si>
  <si>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>SOLDER ZERO BASE</t>
  </si>
  <si>
    <t xml:space="preserve"> 23-Mar-2026 11 17 27 AM</t>
  </si>
  <si>
    <t xml:space="preserve"> 23-Mar-2026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</si>
</sst>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1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0" fillId="0" borderId="0">
      <alignment vertical="center"/>
    </xf>
    <xf numFmtId="0" fontId="21" fillId="0" borderId="0"/>
    <xf numFmtId="0" fontId="19" fillId="0" borderId="0"/>
    <xf numFmtId="0" fontId="18" fillId="0" borderId="0"/>
    <xf numFmtId="0" fontId="21" fillId="0" borderId="0">
      <alignment vertical="center"/>
    </xf>
    <xf numFmtId="3" fontId="30" fillId="0" borderId="0" applyFont="0" applyFill="0" applyBorder="0" applyAlignment="0" applyProtection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3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144">
    <xf numFmtId="0" fontId="0" fillId="0" borderId="0" xfId="0">
      <alignment vertical="center"/>
    </xf>
    <xf numFmtId="164" fontId="25" fillId="3" borderId="13" xfId="5" applyNumberFormat="1" applyFont="1" applyFill="1" applyBorder="1" applyAlignment="1">
      <alignment horizontal="center" vertical="center" wrapText="1" shrinkToFit="1"/>
    </xf>
    <xf numFmtId="0" fontId="25" fillId="3" borderId="12" xfId="5" applyFont="1" applyFill="1" applyBorder="1" applyAlignment="1">
      <alignment horizontal="center" vertical="center" wrapText="1" shrinkToFit="1"/>
    </xf>
    <xf numFmtId="0" fontId="25" fillId="3" borderId="4" xfId="5" applyFont="1" applyFill="1" applyBorder="1" applyAlignment="1">
      <alignment horizontal="center" vertical="center" wrapText="1" shrinkToFit="1"/>
    </xf>
    <xf numFmtId="164" fontId="25" fillId="3" borderId="1" xfId="5" applyNumberFormat="1" applyFont="1" applyFill="1" applyBorder="1" applyAlignment="1">
      <alignment horizontal="center" vertical="center" wrapText="1" shrinkToFit="1"/>
    </xf>
    <xf numFmtId="164" fontId="25" fillId="3" borderId="14" xfId="5" applyNumberFormat="1" applyFont="1" applyFill="1" applyBorder="1" applyAlignment="1">
      <alignment horizontal="center" vertical="center" wrapText="1" shrinkToFit="1"/>
    </xf>
    <xf numFmtId="164" fontId="25" fillId="3" borderId="6" xfId="5" applyNumberFormat="1" applyFont="1" applyFill="1" applyBorder="1" applyAlignment="1">
      <alignment horizontal="center" vertical="center" wrapText="1" shrinkToFit="1"/>
    </xf>
    <xf numFmtId="164" fontId="25" fillId="3" borderId="15" xfId="5" applyNumberFormat="1" applyFont="1" applyFill="1" applyBorder="1" applyAlignment="1">
      <alignment horizontal="center" vertical="center" wrapText="1" shrinkToFit="1"/>
    </xf>
    <xf numFmtId="164" fontId="25" fillId="3" borderId="35" xfId="5" applyNumberFormat="1" applyFont="1" applyFill="1" applyBorder="1" applyAlignment="1">
      <alignment horizontal="center" vertical="center" wrapText="1" shrinkToFit="1"/>
    </xf>
    <xf numFmtId="0" fontId="23" fillId="3" borderId="16" xfId="5" applyFont="1" applyFill="1" applyBorder="1" applyAlignment="1">
      <alignment horizontal="center" vertical="center" wrapText="1"/>
    </xf>
    <xf numFmtId="0" fontId="23" fillId="3" borderId="24" xfId="5" applyFont="1" applyFill="1" applyBorder="1" applyAlignment="1">
      <alignment horizontal="center" vertical="center" wrapText="1"/>
    </xf>
    <xf numFmtId="0" fontId="28" fillId="6" borderId="34" xfId="5" applyFont="1" applyFill="1" applyBorder="1" applyAlignment="1">
      <alignment horizontal="center" vertical="center"/>
    </xf>
    <xf numFmtId="0" fontId="28" fillId="6" borderId="20" xfId="5" applyFont="1" applyFill="1" applyBorder="1" applyAlignment="1">
      <alignment horizontal="center" vertical="center"/>
    </xf>
    <xf numFmtId="164" fontId="29" fillId="6" borderId="21" xfId="5" applyNumberFormat="1" applyFont="1" applyFill="1" applyBorder="1" applyAlignment="1">
      <alignment horizontal="center" vertical="center"/>
    </xf>
    <xf numFmtId="164" fontId="29" fillId="6" borderId="22" xfId="5" applyNumberFormat="1" applyFont="1" applyFill="1" applyBorder="1" applyAlignment="1">
      <alignment horizontal="center" vertical="center"/>
    </xf>
    <xf numFmtId="164" fontId="29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2" fillId="0" borderId="0" xfId="0" applyFont="1">
      <alignment vertical="center"/>
    </xf>
    <xf numFmtId="164" fontId="32" fillId="4" borderId="0" xfId="0" applyNumberFormat="1" applyFont="1" applyFill="1">
      <alignment vertical="center"/>
    </xf>
    <xf numFmtId="0" fontId="32" fillId="4" borderId="0" xfId="0" applyFont="1" applyFill="1">
      <alignment vertical="center"/>
    </xf>
    <xf numFmtId="0" fontId="32" fillId="4" borderId="0" xfId="0" applyFont="1" applyFill="1" applyAlignment="1">
      <alignment horizontal="center" vertical="center"/>
    </xf>
    <xf numFmtId="167" fontId="32" fillId="0" borderId="0" xfId="0" applyNumberFormat="1" applyFo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1" xfId="0" applyFont="1" applyBorder="1" applyAlignment="1" applyProtection="1">
      <alignment horizontal="left" vertical="center" wrapText="1"/>
      <protection locked="0"/>
    </xf>
    <xf numFmtId="0" fontId="11" fillId="0" borderId="0" xfId="15"/>
    <xf numFmtId="164" fontId="27" fillId="2" borderId="22" xfId="15" applyNumberFormat="1" applyFont="1" applyFill="1" applyBorder="1" applyAlignment="1">
      <alignment horizontal="center" vertical="center"/>
    </xf>
    <xf numFmtId="164" fontId="27" fillId="2" borderId="36" xfId="15" applyNumberFormat="1" applyFont="1" applyFill="1" applyBorder="1" applyAlignment="1">
      <alignment horizontal="center" vertical="center"/>
    </xf>
    <xf numFmtId="0" fontId="26" fillId="5" borderId="17" xfId="15" applyFont="1" applyFill="1" applyBorder="1" applyAlignment="1">
      <alignment horizontal="center" vertical="center"/>
    </xf>
    <xf numFmtId="164" fontId="27" fillId="2" borderId="1" xfId="15" applyNumberFormat="1" applyFont="1" applyFill="1" applyBorder="1" applyAlignment="1">
      <alignment horizontal="center" vertical="center"/>
    </xf>
    <xf numFmtId="164" fontId="27" fillId="2" borderId="3" xfId="15" applyNumberFormat="1" applyFont="1" applyFill="1" applyBorder="1" applyAlignment="1">
      <alignment horizontal="center" vertical="center"/>
    </xf>
    <xf numFmtId="0" fontId="26" fillId="5" borderId="16" xfId="15" applyFont="1" applyFill="1" applyBorder="1" applyAlignment="1">
      <alignment horizontal="center" vertical="center"/>
    </xf>
    <xf numFmtId="164" fontId="27" fillId="2" borderId="18" xfId="15" applyNumberFormat="1" applyFont="1" applyFill="1" applyBorder="1" applyAlignment="1">
      <alignment horizontal="center" vertical="center"/>
    </xf>
    <xf numFmtId="164" fontId="27" fillId="2" borderId="5" xfId="15" applyNumberFormat="1" applyFont="1" applyFill="1" applyBorder="1" applyAlignment="1">
      <alignment horizontal="center" vertical="center"/>
    </xf>
    <xf numFmtId="164" fontId="27" fillId="2" borderId="13" xfId="15" applyNumberFormat="1" applyFont="1" applyFill="1" applyBorder="1" applyAlignment="1">
      <alignment horizontal="center" vertical="center"/>
    </xf>
    <xf numFmtId="164" fontId="27" fillId="2" borderId="12" xfId="15" applyNumberFormat="1" applyFont="1" applyFill="1" applyBorder="1" applyAlignment="1">
      <alignment horizontal="center" vertical="center"/>
    </xf>
    <xf numFmtId="0" fontId="26" fillId="5" borderId="24" xfId="15" applyFont="1" applyFill="1" applyBorder="1" applyAlignment="1">
      <alignment horizontal="center" vertical="center"/>
    </xf>
    <xf numFmtId="0" fontId="22" fillId="0" borderId="33" xfId="15" applyFont="1" applyBorder="1" applyAlignment="1">
      <alignment vertical="center" wrapText="1"/>
    </xf>
    <xf numFmtId="0" fontId="22" fillId="0" borderId="32" xfId="15" applyFont="1" applyBorder="1" applyAlignment="1">
      <alignment vertical="center" wrapText="1"/>
    </xf>
    <xf numFmtId="0" fontId="22" fillId="0" borderId="31" xfId="15" applyFont="1" applyBorder="1" applyAlignment="1">
      <alignment vertical="center" wrapText="1"/>
    </xf>
    <xf numFmtId="0" fontId="22" fillId="0" borderId="10" xfId="15" applyFont="1" applyBorder="1" applyAlignment="1">
      <alignment horizontal="center" vertical="center" wrapText="1"/>
    </xf>
    <xf numFmtId="0" fontId="22" fillId="0" borderId="25" xfId="15" applyFont="1" applyBorder="1" applyAlignment="1">
      <alignment vertical="center" wrapText="1"/>
    </xf>
    <xf numFmtId="0" fontId="22" fillId="0" borderId="26" xfId="15" applyFont="1" applyBorder="1" applyAlignment="1">
      <alignment vertical="center" wrapText="1"/>
    </xf>
    <xf numFmtId="0" fontId="22" fillId="0" borderId="27" xfId="15" applyFont="1" applyBorder="1" applyAlignment="1">
      <alignment vertical="center" wrapText="1"/>
    </xf>
    <xf numFmtId="0" fontId="22" fillId="0" borderId="28" xfId="15" applyFont="1" applyBorder="1" applyAlignment="1">
      <alignment horizontal="center" vertical="top" wrapText="1"/>
    </xf>
    <xf numFmtId="0" fontId="22" fillId="0" borderId="29" xfId="15" applyFont="1" applyBorder="1" applyAlignment="1">
      <alignment vertical="center" wrapText="1"/>
    </xf>
    <xf numFmtId="0" fontId="22" fillId="0" borderId="0" xfId="15" applyFont="1" applyAlignment="1">
      <alignment vertical="center" wrapText="1"/>
    </xf>
    <xf numFmtId="0" fontId="22" fillId="0" borderId="19" xfId="15" applyFont="1" applyBorder="1" applyAlignment="1">
      <alignment vertical="center" wrapText="1"/>
    </xf>
    <xf numFmtId="0" fontId="22" fillId="0" borderId="30" xfId="15" applyFont="1" applyBorder="1" applyAlignment="1">
      <alignment horizontal="center" wrapText="1"/>
    </xf>
    <xf numFmtId="14" fontId="22" fillId="0" borderId="30" xfId="15" applyNumberFormat="1" applyFont="1" applyBorder="1" applyAlignment="1">
      <alignment horizontal="center" vertical="top" wrapText="1"/>
    </xf>
    <xf numFmtId="0" fontId="22" fillId="0" borderId="9" xfId="15" applyFont="1" applyBorder="1" applyAlignment="1">
      <alignment vertical="center" wrapText="1"/>
    </xf>
    <xf numFmtId="0" fontId="22" fillId="0" borderId="8" xfId="15" applyFont="1" applyBorder="1" applyAlignment="1">
      <alignment vertical="center" wrapText="1"/>
    </xf>
    <xf numFmtId="0" fontId="22" fillId="0" borderId="7" xfId="15" applyFont="1" applyBorder="1" applyAlignment="1">
      <alignment vertical="center" wrapText="1"/>
    </xf>
    <xf numFmtId="0" fontId="22" fillId="0" borderId="11" xfId="15" applyFont="1" applyBorder="1" applyAlignment="1">
      <alignment horizontal="center" wrapText="1"/>
    </xf>
    <xf numFmtId="0" fontId="27" fillId="0" borderId="1" xfId="0" applyFont="1" applyBorder="1" applyAlignment="1">
      <alignment horizontal="left" vertical="center" wrapText="1"/>
    </xf>
    <xf numFmtId="0" fontId="34" fillId="0" borderId="0" xfId="0" applyFont="1" applyAlignment="1"/>
    <xf numFmtId="164" fontId="35" fillId="7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164" fontId="36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>
      <alignment vertical="center" wrapText="1"/>
    </xf>
    <xf numFmtId="16" fontId="36" fillId="0" borderId="1" xfId="0" applyNumberFormat="1" applyFont="1" applyBorder="1" applyAlignment="1">
      <alignment horizontal="center" vertical="center" wrapText="1"/>
    </xf>
    <xf numFmtId="0" fontId="35" fillId="9" borderId="16" xfId="0" applyFont="1" applyFill="1" applyBorder="1" applyAlignment="1">
      <alignment horizontal="right" vertical="center"/>
    </xf>
    <xf numFmtId="2" fontId="35" fillId="9" borderId="4" xfId="0" applyNumberFormat="1" applyFont="1" applyFill="1" applyBorder="1" applyAlignment="1">
      <alignment horizontal="left" vertical="center"/>
    </xf>
    <xf numFmtId="164" fontId="37" fillId="8" borderId="1" xfId="0" applyNumberFormat="1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 wrapText="1"/>
    </xf>
    <xf numFmtId="2" fontId="37" fillId="3" borderId="1" xfId="0" applyNumberFormat="1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164" fontId="35" fillId="9" borderId="1" xfId="0" applyNumberFormat="1" applyFont="1" applyFill="1" applyBorder="1" applyAlignment="1">
      <alignment horizontal="center" vertical="center"/>
    </xf>
    <xf numFmtId="164" fontId="29" fillId="6" borderId="39" xfId="5" applyNumberFormat="1" applyFont="1" applyFill="1" applyBorder="1" applyAlignment="1">
      <alignment horizontal="center" vertical="center"/>
    </xf>
    <xf numFmtId="164" fontId="29" fillId="6" borderId="40" xfId="5" applyNumberFormat="1" applyFont="1" applyFill="1" applyBorder="1" applyAlignment="1">
      <alignment horizontal="center" vertical="center"/>
    </xf>
    <xf numFmtId="164" fontId="29" fillId="6" borderId="41" xfId="5" applyNumberFormat="1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15" fontId="39" fillId="0" borderId="0" xfId="0" applyNumberFormat="1" applyFont="1" applyAlignment="1"/>
    <xf numFmtId="15" fontId="40" fillId="0" borderId="0" xfId="0" applyNumberFormat="1" applyFont="1" applyAlignment="1"/>
    <xf numFmtId="0" fontId="39" fillId="0" borderId="0" xfId="31" applyFont="1" applyAlignment="1">
      <alignment horizontal="center" vertical="center"/>
    </xf>
    <xf numFmtId="0" fontId="39" fillId="0" borderId="0" xfId="31" applyFont="1" applyAlignment="1">
      <alignment horizontal="center"/>
    </xf>
    <xf numFmtId="2" fontId="39" fillId="0" borderId="0" xfId="31" applyNumberFormat="1" applyFont="1" applyAlignment="1">
      <alignment horizontal="center" vertical="center"/>
    </xf>
    <xf numFmtId="0" fontId="39" fillId="0" borderId="0" xfId="31" applyFont="1"/>
    <xf numFmtId="2" fontId="39" fillId="0" borderId="0" xfId="31" applyNumberFormat="1" applyFont="1"/>
    <xf numFmtId="0" fontId="25" fillId="3" borderId="42" xfId="5" applyFont="1" applyFill="1" applyBorder="1" applyAlignment="1">
      <alignment horizontal="center" vertical="center" wrapText="1" shrinkToFit="1"/>
    </xf>
    <xf numFmtId="0" fontId="25" fillId="3" borderId="43" xfId="5" applyFont="1" applyFill="1" applyBorder="1" applyAlignment="1">
      <alignment horizontal="center" vertical="center" wrapText="1" shrinkToFit="1"/>
    </xf>
    <xf numFmtId="0" fontId="25" fillId="3" borderId="45" xfId="5" applyFont="1" applyFill="1" applyBorder="1" applyAlignment="1">
      <alignment horizontal="center" vertical="center" wrapText="1" shrinkToFit="1"/>
    </xf>
    <xf numFmtId="0" fontId="25" fillId="3" borderId="7" xfId="5" applyFont="1" applyFill="1" applyBorder="1" applyAlignment="1">
      <alignment horizontal="center" vertical="center" wrapText="1" shrinkToFit="1"/>
    </xf>
    <xf numFmtId="0" fontId="25" fillId="3" borderId="8" xfId="5" applyFont="1" applyFill="1" applyBorder="1" applyAlignment="1">
      <alignment horizontal="center" vertical="center" wrapText="1" shrinkToFit="1"/>
    </xf>
    <xf numFmtId="0" fontId="25" fillId="3" borderId="24" xfId="5" applyFont="1" applyFill="1" applyBorder="1" applyAlignment="1">
      <alignment horizontal="center" wrapText="1" shrinkToFit="1"/>
    </xf>
    <xf numFmtId="0" fontId="25" fillId="3" borderId="6" xfId="5" applyFont="1" applyFill="1" applyBorder="1" applyAlignment="1">
      <alignment horizontal="center" wrapText="1" shrinkToFit="1"/>
    </xf>
    <xf numFmtId="0" fontId="25" fillId="3" borderId="46" xfId="5" applyFont="1" applyFill="1" applyBorder="1" applyAlignment="1">
      <alignment horizontal="center" wrapText="1" shrinkToFit="1"/>
    </xf>
    <xf numFmtId="0" fontId="25" fillId="3" borderId="44" xfId="5" applyFont="1" applyFill="1" applyBorder="1" applyAlignment="1">
      <alignment horizontal="center" wrapText="1" shrinkToFit="1"/>
    </xf>
    <xf numFmtId="0" fontId="25" fillId="3" borderId="15" xfId="5" applyFont="1" applyFill="1" applyBorder="1" applyAlignment="1">
      <alignment horizontal="center" wrapText="1" shrinkToFit="1"/>
    </xf>
    <xf numFmtId="0" fontId="2" fillId="0" borderId="0" xfId="30" applyFont="1"/>
    <xf numFmtId="166" fontId="2" fillId="0" borderId="0" xfId="30" applyNumberFormat="1" applyFont="1"/>
    <xf numFmtId="0" fontId="2" fillId="0" borderId="0" xfId="30" quotePrefix="1" applyFont="1"/>
    <xf numFmtId="0" fontId="2" fillId="0" borderId="0" xfId="30" applyFont="1" applyAlignment="1">
      <alignment horizontal="center" vertical="center"/>
    </xf>
    <xf numFmtId="0" fontId="2" fillId="0" borderId="0" xfId="30" applyFont="1" applyAlignment="1">
      <alignment vertical="center"/>
    </xf>
    <xf numFmtId="0" fontId="2" fillId="0" borderId="0" xfId="31" applyFont="1" applyAlignment="1">
      <alignment horizontal="center" vertical="center"/>
    </xf>
    <xf numFmtId="164" fontId="2" fillId="0" borderId="0" xfId="30" applyNumberFormat="1" applyFont="1"/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0" borderId="0" xfId="30" applyFont="1" applyAlignment="1">
      <alignment horizontal="center"/>
    </xf>
    <xf numFmtId="0" fontId="2" fillId="0" borderId="0" xfId="31" applyFont="1" applyAlignment="1">
      <alignment horizontal="center"/>
    </xf>
    <xf numFmtId="0" fontId="1" fillId="0" borderId="0" xfId="30" applyFont="1"/>
    <xf numFmtId="164" fontId="27" fillId="2" borderId="38" xfId="15" applyNumberFormat="1" applyFont="1" applyFill="1" applyBorder="1" applyAlignment="1">
      <alignment horizontal="center" vertical="center"/>
    </xf>
    <xf numFmtId="164" fontId="27" fillId="2" borderId="23" xfId="15" applyNumberFormat="1" applyFont="1" applyFill="1" applyBorder="1" applyAlignment="1">
      <alignment horizontal="center" vertical="center"/>
    </xf>
    <xf numFmtId="164" fontId="27" fillId="2" borderId="47" xfId="15" applyNumberFormat="1" applyFont="1" applyFill="1" applyBorder="1" applyAlignment="1">
      <alignment horizontal="center" vertical="center"/>
    </xf>
    <xf numFmtId="164" fontId="27" fillId="2" borderId="21" xfId="15" applyNumberFormat="1" applyFont="1" applyFill="1" applyBorder="1" applyAlignment="1">
      <alignment horizontal="center" vertical="center"/>
    </xf>
    <xf numFmtId="0" fontId="31" fillId="0" borderId="31" xfId="15" applyFont="1" applyBorder="1" applyAlignment="1">
      <alignment horizontal="center" shrinkToFit="1"/>
    </xf>
    <xf numFmtId="0" fontId="31" fillId="0" borderId="32" xfId="15" applyFont="1" applyBorder="1" applyAlignment="1">
      <alignment vertical="center" shrinkToFit="1"/>
    </xf>
    <xf numFmtId="0" fontId="31" fillId="0" borderId="33" xfId="15" applyFont="1" applyBorder="1" applyAlignment="1">
      <alignment vertical="center" shrinkToFit="1"/>
    </xf>
    <xf numFmtId="0" fontId="24" fillId="3" borderId="27" xfId="5" applyFont="1" applyFill="1" applyBorder="1" applyAlignment="1">
      <alignment horizontal="center" vertical="center" wrapText="1"/>
    </xf>
    <xf numFmtId="0" fontId="24" fillId="3" borderId="26" xfId="5" applyFont="1" applyFill="1" applyBorder="1" applyAlignment="1">
      <alignment horizontal="center" vertical="center" wrapText="1"/>
    </xf>
    <xf numFmtId="0" fontId="24" fillId="3" borderId="25" xfId="5" applyFont="1" applyFill="1" applyBorder="1" applyAlignment="1">
      <alignment horizontal="center" vertical="center" wrapText="1"/>
    </xf>
    <xf numFmtId="0" fontId="23" fillId="3" borderId="31" xfId="5" applyFont="1" applyFill="1" applyBorder="1" applyAlignment="1">
      <alignment horizontal="center" vertical="center" wrapText="1"/>
    </xf>
    <xf numFmtId="0" fontId="23" fillId="3" borderId="34" xfId="5" applyFont="1" applyFill="1" applyBorder="1" applyAlignment="1">
      <alignment horizontal="center" vertical="center" wrapText="1"/>
    </xf>
    <xf numFmtId="0" fontId="22" fillId="3" borderId="11" xfId="5" applyFont="1" applyFill="1" applyBorder="1" applyAlignment="1">
      <alignment horizontal="center" vertical="center" wrapText="1"/>
    </xf>
    <xf numFmtId="0" fontId="22" fillId="3" borderId="8" xfId="5" applyFont="1" applyFill="1" applyBorder="1" applyAlignment="1">
      <alignment horizontal="center" vertical="center" wrapText="1"/>
    </xf>
    <xf numFmtId="0" fontId="22" fillId="3" borderId="9" xfId="5" applyFont="1" applyFill="1" applyBorder="1" applyAlignment="1">
      <alignment horizontal="center" vertical="center" wrapText="1"/>
    </xf>
    <xf numFmtId="0" fontId="22" fillId="3" borderId="7" xfId="5" applyFont="1" applyFill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35" fillId="7" borderId="16" xfId="0" applyFont="1" applyFill="1" applyBorder="1" applyAlignment="1">
      <alignment horizontal="center" vertical="center"/>
    </xf>
    <xf numFmtId="0" fontId="35" fillId="7" borderId="4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>
      <alignment horizontal="center" vertical="center" wrapText="1"/>
    </xf>
    <xf numFmtId="0" fontId="37" fillId="8" borderId="3" xfId="0" applyFont="1" applyFill="1" applyBorder="1" applyAlignment="1">
      <alignment horizontal="center" vertical="center" wrapText="1"/>
    </xf>
    <xf numFmtId="0" fontId="37" fillId="8" borderId="4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7" fillId="10" borderId="3" xfId="0" applyFont="1" applyFill="1" applyBorder="1" applyAlignment="1">
      <alignment horizontal="center" vertical="center" wrapText="1"/>
    </xf>
    <xf numFmtId="0" fontId="37" fillId="10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D2" sqref="D2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20</v>
      </c>
      <c r="C3" s="56" t="s">
        <v>34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35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37</v>
      </c>
      <c r="C5" s="51" t="s">
        <v>36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33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5" t="str">
        <f>C13&amp;"~"&amp;C12&amp;" mm"</f>
        <v>~ mm</v>
      </c>
      <c r="D9" s="116"/>
      <c r="E9" s="116"/>
      <c r="F9" s="117"/>
      <c r="G9" s="115" t="str">
        <f>G13&amp;"~"&amp;G12&amp;" mm"</f>
        <v>~ mm</v>
      </c>
      <c r="H9" s="116"/>
      <c r="I9" s="116"/>
      <c r="J9" s="117"/>
    </row>
    <row r="10" spans="1:10" ht="4.5" customHeight="1" thickBot="1">
      <c r="B10" s="118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19"/>
      <c r="C11" s="91" t="s">
        <v>7</v>
      </c>
      <c r="D11" s="92" t="s">
        <v>8</v>
      </c>
      <c r="E11" s="92" t="s">
        <v>9</v>
      </c>
      <c r="F11" s="93" t="s">
        <v>10</v>
      </c>
      <c r="G11" s="91" t="s">
        <v>7</v>
      </c>
      <c r="H11" s="94" t="s">
        <v>8</v>
      </c>
      <c r="I11" s="92" t="s">
        <v>9</v>
      </c>
      <c r="J11" s="95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14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15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16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17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18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19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5" sqref="D5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1" s="22" customFormat="1" ht="69" customHeight="1">
      <c r="A1" s="17" t="s">
        <v>21</v>
      </c>
      <c r="B1" s="17" t="s">
        <v>4</v>
      </c>
      <c r="C1" s="17" t="s">
        <v>458</v>
      </c>
      <c r="D1" s="23"/>
      <c r="E1" s="25"/>
      <c r="F1" s="25"/>
      <c r="I1" s="26">
        <v>46104</v>
      </c>
      <c r="J1" s="22" t="s">
        <v>157</v>
      </c>
      <c r="K1" s="22" t="s">
        <v>487</v>
      </c>
    </row>
    <row r="2" spans="1:11">
      <c r="A2" s="16">
        <v>1</v>
      </c>
      <c r="C2" s="17"/>
      <c r="D2" s="23"/>
      <c r="H2" s="16"/>
    </row>
    <row r="3" spans="1:11">
      <c r="A3" s="16">
        <v>1</v>
      </c>
      <c r="C3" s="17"/>
      <c r="D3" s="23"/>
      <c r="F3" s="16"/>
      <c r="G3" s="16"/>
      <c r="H3" s="16"/>
    </row>
    <row r="4" spans="1:11">
      <c r="A4" s="16">
        <v>1</v>
      </c>
      <c r="C4" s="17"/>
      <c r="D4" s="23"/>
      <c r="G4" s="20"/>
      <c r="H4" s="16"/>
    </row>
    <row r="5" spans="1:11">
      <c r="A5" s="16">
        <v>1</v>
      </c>
      <c r="C5" s="17"/>
      <c r="D5" s="23"/>
      <c r="F5" s="20"/>
      <c r="G5" s="20"/>
      <c r="H5" s="16"/>
    </row>
    <row r="6" spans="1:11">
      <c r="A6" s="16">
        <v>1</v>
      </c>
      <c r="C6" s="17"/>
      <c r="D6" s="23"/>
      <c r="E6"/>
      <c r="F6" s="20"/>
      <c r="G6" s="20"/>
      <c r="H6" s="16"/>
    </row>
    <row r="7" spans="1:11" ht="13.5" customHeight="1">
      <c r="A7" s="16">
        <v>1</v>
      </c>
      <c r="C7" s="17"/>
      <c r="D7" s="23"/>
      <c r="E7"/>
      <c r="F7" s="20"/>
      <c r="G7" s="20"/>
      <c r="H7" s="16"/>
    </row>
    <row r="8" spans="1:11">
      <c r="A8" s="16">
        <v>1</v>
      </c>
      <c r="C8" s="17"/>
      <c r="D8" s="23"/>
      <c r="E8"/>
      <c r="F8" s="20"/>
      <c r="G8" s="20"/>
      <c r="H8" s="16"/>
      <c r="K8" s="21"/>
    </row>
    <row r="9" spans="1:11">
      <c r="A9" s="16">
        <v>1</v>
      </c>
      <c r="C9" s="17"/>
      <c r="D9" s="23"/>
      <c r="E9"/>
      <c r="F9" s="20"/>
      <c r="G9" s="20"/>
      <c r="H9" s="16"/>
    </row>
    <row r="10" spans="1:11">
      <c r="A10" s="16">
        <v>1</v>
      </c>
      <c r="C10" s="17"/>
      <c r="D10" s="23"/>
      <c r="E10"/>
      <c r="F10" s="20"/>
      <c r="G10" s="20"/>
      <c r="H10" s="16"/>
    </row>
    <row r="11" spans="1:11">
      <c r="A11" s="16">
        <v>1</v>
      </c>
      <c r="C11" s="17"/>
      <c r="D11" s="23"/>
      <c r="E11"/>
      <c r="F11" s="20"/>
      <c r="G11" s="20"/>
      <c r="H11" s="16"/>
    </row>
    <row r="12" spans="1:11">
      <c r="A12" s="16">
        <v>1</v>
      </c>
      <c r="C12" s="17"/>
      <c r="D12" s="23"/>
      <c r="E12"/>
      <c r="F12" s="20"/>
      <c r="G12" s="20"/>
      <c r="H12" s="16"/>
    </row>
    <row r="13" spans="1:11">
      <c r="A13" s="16">
        <v>1</v>
      </c>
      <c r="C13" s="17"/>
      <c r="D13" s="23"/>
      <c r="E13"/>
      <c r="F13" s="20"/>
      <c r="G13" s="20"/>
      <c r="H13" s="16"/>
    </row>
    <row r="14" spans="1:11">
      <c r="A14" s="16">
        <v>1</v>
      </c>
      <c r="C14" s="17"/>
      <c r="D14" s="23"/>
      <c r="G14" s="20"/>
      <c r="H14" s="20"/>
      <c r="I14" s="16"/>
    </row>
    <row r="15" spans="1:11">
      <c r="A15" s="16">
        <v>1</v>
      </c>
      <c r="C15" s="17"/>
      <c r="D15" s="23"/>
      <c r="G15" s="20"/>
      <c r="H15" s="20"/>
      <c r="I15" s="16"/>
    </row>
    <row r="16" spans="1:11">
      <c r="A16" s="16">
        <v>1</v>
      </c>
      <c r="C16" s="17"/>
      <c r="D16" s="23"/>
      <c r="G16" s="20"/>
      <c r="H16" s="20"/>
      <c r="I16" s="16"/>
    </row>
    <row r="17" spans="1:9">
      <c r="A17" s="16">
        <v>1</v>
      </c>
      <c r="C17" s="17"/>
      <c r="D17" s="23"/>
      <c r="G17" s="20"/>
      <c r="H17" s="20"/>
      <c r="I17" s="16"/>
    </row>
    <row r="18" spans="1:9">
      <c r="A18" s="16">
        <v>1</v>
      </c>
      <c r="C18" s="17"/>
      <c r="D18" s="23"/>
      <c r="G18" s="20"/>
      <c r="H18" s="20"/>
      <c r="I18" s="16"/>
    </row>
    <row r="19" spans="1:9">
      <c r="A19" s="16">
        <v>1</v>
      </c>
      <c r="C19" s="17"/>
      <c r="D19" s="23"/>
      <c r="G19" s="20"/>
      <c r="H19" s="20"/>
      <c r="I19" s="16"/>
    </row>
    <row r="20" spans="1:9">
      <c r="A20" s="16">
        <v>1</v>
      </c>
      <c r="C20" s="17"/>
      <c r="D20" s="23"/>
      <c r="G20" s="20"/>
      <c r="H20" s="20"/>
      <c r="I20" s="16"/>
    </row>
    <row r="21" spans="1:9">
      <c r="A21" s="16">
        <v>1</v>
      </c>
      <c r="C21" s="17"/>
      <c r="D21" s="23"/>
      <c r="G21" s="20"/>
      <c r="H21" s="20"/>
      <c r="I21" s="16"/>
    </row>
    <row r="22" spans="1:9">
      <c r="A22" s="16">
        <v>1</v>
      </c>
      <c r="C22" s="17"/>
      <c r="D22" s="23"/>
      <c r="G22" s="20"/>
      <c r="H22" s="20"/>
      <c r="I22" s="16"/>
    </row>
    <row r="23" spans="1:9">
      <c r="A23" s="16">
        <v>1</v>
      </c>
      <c r="C23" s="17"/>
      <c r="D23" s="23"/>
      <c r="G23" s="20"/>
      <c r="H23" s="20"/>
      <c r="I23" s="16"/>
    </row>
    <row r="24" spans="1:9">
      <c r="A24" s="16">
        <v>1</v>
      </c>
      <c r="C24" s="17"/>
      <c r="D24" s="23"/>
      <c r="G24" s="20"/>
      <c r="H24" s="20"/>
      <c r="I24" s="16"/>
    </row>
    <row r="25" spans="1:9">
      <c r="A25" s="16">
        <v>1</v>
      </c>
      <c r="C25" s="17"/>
      <c r="D25" s="23"/>
      <c r="G25" s="20"/>
      <c r="H25" s="20"/>
      <c r="I25" s="16"/>
    </row>
    <row r="26" spans="1:9">
      <c r="A26" s="16">
        <v>1</v>
      </c>
      <c r="C26" s="17"/>
      <c r="D26" s="23"/>
      <c r="G26" s="20"/>
      <c r="H26" s="20"/>
      <c r="I26" s="16"/>
    </row>
    <row r="27" spans="1:9">
      <c r="A27" s="16">
        <v>1</v>
      </c>
      <c r="C27" s="17"/>
      <c r="D27" s="23"/>
      <c r="G27" s="20"/>
      <c r="H27" s="20"/>
      <c r="I27" s="16"/>
    </row>
    <row r="28" spans="1:9">
      <c r="A28" s="16">
        <v>1</v>
      </c>
      <c r="C28" s="17"/>
      <c r="D28" s="23"/>
      <c r="G28" s="20"/>
      <c r="H28" s="20"/>
      <c r="I28" s="16"/>
    </row>
    <row r="29" spans="1:9">
      <c r="A29" s="16">
        <v>1</v>
      </c>
      <c r="C29" s="17"/>
      <c r="D29" s="23"/>
      <c r="G29" s="20"/>
      <c r="H29" s="20"/>
      <c r="I29" s="16"/>
    </row>
    <row r="30" spans="1:9">
      <c r="A30" s="16">
        <v>1</v>
      </c>
      <c r="C30" s="17"/>
      <c r="D30" s="23"/>
    </row>
    <row r="31" spans="1:9">
      <c r="A31" s="16">
        <v>1</v>
      </c>
      <c r="C31" s="17"/>
      <c r="D31" s="23"/>
    </row>
    <row r="32" spans="1:9">
      <c r="A32" s="16">
        <v>1</v>
      </c>
      <c r="C32" s="17"/>
      <c r="D32" s="23"/>
    </row>
    <row r="33" spans="1:4">
      <c r="A33" s="16">
        <v>1</v>
      </c>
      <c r="C33" s="17"/>
      <c r="D33" s="23"/>
    </row>
    <row r="34" spans="1:4">
      <c r="A34" s="16">
        <v>1</v>
      </c>
      <c r="C34" s="17"/>
      <c r="D34" s="23"/>
    </row>
    <row r="35" spans="1:4">
      <c r="A35" s="16">
        <v>1</v>
      </c>
      <c r="C35" s="17"/>
      <c r="D35" s="23"/>
    </row>
    <row r="36" spans="1:4">
      <c r="A36" s="16">
        <v>1</v>
      </c>
      <c r="C36" s="17"/>
      <c r="D36" s="23"/>
    </row>
    <row r="37" spans="1:4">
      <c r="A37" s="16">
        <v>1</v>
      </c>
      <c r="C37" s="17"/>
      <c r="D37" s="23"/>
    </row>
    <row r="38" spans="1:4">
      <c r="A38" s="16">
        <v>1</v>
      </c>
      <c r="C38" s="17"/>
      <c r="D38" s="23"/>
    </row>
    <row r="39" spans="1:4">
      <c r="A39" s="16">
        <v>1</v>
      </c>
      <c r="C39" s="17"/>
      <c r="D39" s="23"/>
    </row>
    <row r="40" spans="1:4">
      <c r="A40" s="16">
        <v>1</v>
      </c>
      <c r="C40" s="17"/>
      <c r="D40" s="23"/>
    </row>
    <row r="41" spans="1:4">
      <c r="A41" s="16">
        <v>1</v>
      </c>
      <c r="C41" s="17"/>
      <c r="D41" s="23"/>
    </row>
    <row r="42" spans="1:4">
      <c r="A42" s="16">
        <v>1</v>
      </c>
      <c r="C42" s="17"/>
      <c r="D42" s="23"/>
    </row>
    <row r="43" spans="1:4">
      <c r="A43" s="16">
        <v>1</v>
      </c>
      <c r="C43" s="17"/>
      <c r="D43" s="23"/>
    </row>
    <row r="44" spans="1:4">
      <c r="A44" s="16">
        <v>1</v>
      </c>
      <c r="C44" s="17"/>
      <c r="D44" s="23"/>
    </row>
    <row r="45" spans="1:4">
      <c r="A45" s="16">
        <v>1</v>
      </c>
      <c r="C45" s="17"/>
      <c r="D45" s="23"/>
    </row>
    <row r="46" spans="1:4">
      <c r="A46" s="16">
        <v>1</v>
      </c>
      <c r="C46" s="17"/>
      <c r="D46" s="23"/>
    </row>
    <row r="47" spans="1:4">
      <c r="A47" s="16">
        <v>1</v>
      </c>
      <c r="C47" s="17"/>
      <c r="D47" s="23"/>
    </row>
    <row r="48" spans="1:4">
      <c r="A48" s="16">
        <v>1</v>
      </c>
      <c r="C48" s="17"/>
      <c r="D48" s="23"/>
    </row>
    <row r="49" spans="1:4">
      <c r="A49" s="16">
        <v>11</v>
      </c>
      <c r="C49" s="17"/>
      <c r="D49" s="23"/>
    </row>
    <row r="50" spans="1:4">
      <c r="A50" s="16">
        <v>1</v>
      </c>
      <c r="C50" s="17"/>
      <c r="D50" s="23"/>
    </row>
    <row r="51" spans="1:4">
      <c r="A51" s="16">
        <v>1</v>
      </c>
      <c r="C51" s="17"/>
      <c r="D51" s="23"/>
    </row>
    <row r="52" spans="1:4">
      <c r="A52" s="16">
        <v>1</v>
      </c>
      <c r="C52" s="17"/>
      <c r="D52" s="23"/>
    </row>
    <row r="53" spans="1:4">
      <c r="A53" s="16">
        <v>1</v>
      </c>
      <c r="C53" s="17"/>
      <c r="D53" s="23"/>
    </row>
    <row r="54" spans="1:4">
      <c r="A54" s="16">
        <v>1</v>
      </c>
      <c r="C54" s="17"/>
      <c r="D54" s="23"/>
    </row>
    <row r="55" spans="1:4">
      <c r="A55" s="16">
        <v>1</v>
      </c>
      <c r="C55" s="17"/>
      <c r="D55" s="23"/>
    </row>
    <row r="56" spans="1:4">
      <c r="A56" s="16">
        <v>1</v>
      </c>
      <c r="C56" s="17"/>
      <c r="D56" s="23"/>
    </row>
    <row r="57" spans="1:4">
      <c r="A57" s="16">
        <v>1</v>
      </c>
      <c r="C57" s="17"/>
      <c r="D57" s="23"/>
    </row>
    <row r="58" spans="1:4">
      <c r="A58" s="16">
        <v>1</v>
      </c>
      <c r="C58" s="17"/>
      <c r="D58" s="23"/>
    </row>
    <row r="59" spans="1:4">
      <c r="A59" s="16">
        <v>1</v>
      </c>
      <c r="C59" s="17"/>
      <c r="D59" s="23"/>
    </row>
    <row r="60" spans="1:4">
      <c r="A60" s="16">
        <v>1</v>
      </c>
      <c r="C60" s="17"/>
      <c r="D60" s="23"/>
    </row>
    <row r="61" spans="1:4">
      <c r="A61" s="16">
        <v>1</v>
      </c>
      <c r="C61" s="17"/>
      <c r="D61" s="23"/>
    </row>
    <row r="62" spans="1:4">
      <c r="A62" s="16">
        <v>1</v>
      </c>
      <c r="C62" s="17"/>
      <c r="D62" s="23"/>
    </row>
    <row r="63" spans="1:4">
      <c r="A63" s="16">
        <v>1</v>
      </c>
      <c r="C63" s="17"/>
      <c r="D63" s="23"/>
    </row>
    <row r="64" spans="1:4">
      <c r="A64" s="16">
        <v>1</v>
      </c>
      <c r="C64" s="17"/>
      <c r="D64" s="23"/>
    </row>
    <row r="65" spans="1:4">
      <c r="A65" s="16">
        <v>1</v>
      </c>
      <c r="C65" s="17"/>
      <c r="D65" s="23"/>
    </row>
    <row r="66" spans="1:4">
      <c r="A66" s="16">
        <v>1</v>
      </c>
      <c r="C66" s="17"/>
      <c r="D66" s="23"/>
    </row>
    <row r="67" spans="1:4">
      <c r="A67" s="16">
        <v>1</v>
      </c>
      <c r="C67" s="17"/>
      <c r="D67" s="23"/>
    </row>
    <row r="68" spans="1:4">
      <c r="A68" s="16">
        <v>11</v>
      </c>
      <c r="C68" s="17"/>
      <c r="D68" s="23"/>
    </row>
    <row r="69" spans="1:4">
      <c r="A69" s="16">
        <v>1</v>
      </c>
      <c r="C69" s="17"/>
      <c r="D69" s="23"/>
    </row>
    <row r="70" spans="1:4">
      <c r="A70" s="16">
        <v>1</v>
      </c>
      <c r="C70" s="17"/>
      <c r="D70" s="23"/>
    </row>
    <row r="71" spans="1:4">
      <c r="A71" s="16">
        <v>1</v>
      </c>
      <c r="C71" s="17"/>
      <c r="D71" s="23"/>
    </row>
    <row r="72" spans="1:4">
      <c r="A72" s="16">
        <v>1</v>
      </c>
      <c r="C72" s="17"/>
      <c r="D72" s="23"/>
    </row>
    <row r="73" spans="1:4">
      <c r="A73" s="16">
        <v>1</v>
      </c>
      <c r="C73" s="17"/>
      <c r="D73" s="23"/>
    </row>
    <row r="74" spans="1:4">
      <c r="A74" s="16">
        <v>1</v>
      </c>
      <c r="C74" s="17"/>
      <c r="D74" s="23"/>
    </row>
    <row r="75" spans="1:4">
      <c r="A75" s="16">
        <v>1</v>
      </c>
      <c r="C75" s="17"/>
      <c r="D75" s="23"/>
    </row>
    <row r="76" spans="1:4">
      <c r="A76" s="16">
        <v>1</v>
      </c>
      <c r="C76" s="17"/>
      <c r="D76" s="23"/>
    </row>
    <row r="77" spans="1:4">
      <c r="A77" s="16">
        <v>1</v>
      </c>
      <c r="C77" s="17"/>
      <c r="D77" s="23"/>
    </row>
    <row r="78" spans="1:4">
      <c r="A78" s="16">
        <v>1</v>
      </c>
      <c r="C78" s="17"/>
      <c r="D78" s="23"/>
    </row>
    <row r="79" spans="1:4">
      <c r="A79" s="16">
        <v>1</v>
      </c>
      <c r="C79" s="17"/>
      <c r="D79" s="23"/>
    </row>
    <row r="80" spans="1:4">
      <c r="A80" s="16">
        <v>1</v>
      </c>
      <c r="C80" s="17"/>
      <c r="D80" s="23"/>
    </row>
    <row r="81" spans="1:4">
      <c r="A81" s="16">
        <v>1</v>
      </c>
      <c r="C81" s="17"/>
      <c r="D81" s="23"/>
    </row>
    <row r="82" spans="1:4">
      <c r="A82" s="16">
        <v>11</v>
      </c>
      <c r="C82" s="17"/>
      <c r="D82" s="23"/>
    </row>
    <row r="83" spans="1:4">
      <c r="A83" s="16">
        <v>1</v>
      </c>
      <c r="C83" s="17"/>
      <c r="D83" s="23"/>
    </row>
    <row r="84" spans="1:4">
      <c r="A84" s="16">
        <v>1</v>
      </c>
      <c r="C84" s="17"/>
      <c r="D84" s="23"/>
    </row>
    <row r="85" spans="1:4">
      <c r="A85" s="16">
        <v>11</v>
      </c>
      <c r="C85" s="17"/>
      <c r="D85" s="23"/>
    </row>
    <row r="86" spans="1:4">
      <c r="A86" s="16">
        <v>1</v>
      </c>
      <c r="C86" s="17"/>
      <c r="D86" s="23"/>
    </row>
    <row r="87" spans="1:4">
      <c r="A87" s="16">
        <v>1</v>
      </c>
      <c r="C87" s="17"/>
      <c r="D87" s="23"/>
    </row>
    <row r="88" spans="1:4">
      <c r="A88" s="16">
        <v>1</v>
      </c>
      <c r="C88" s="17"/>
      <c r="D88" s="23"/>
    </row>
    <row r="89" spans="1:4">
      <c r="A89" s="16">
        <v>1</v>
      </c>
      <c r="C89" s="17"/>
      <c r="D89" s="23"/>
    </row>
    <row r="90" spans="1:4">
      <c r="A90" s="16">
        <v>1</v>
      </c>
      <c r="C90" s="17"/>
      <c r="D90" s="23"/>
    </row>
    <row r="91" spans="1:4">
      <c r="A91" s="16">
        <v>1</v>
      </c>
      <c r="C91" s="17"/>
      <c r="D91" s="23"/>
    </row>
    <row r="92" spans="1:4">
      <c r="A92" s="16">
        <v>1</v>
      </c>
      <c r="C92" s="17"/>
      <c r="D92" s="23"/>
    </row>
    <row r="93" spans="1:4">
      <c r="A93" s="16">
        <v>1</v>
      </c>
      <c r="C93" s="17"/>
      <c r="D93" s="23"/>
    </row>
    <row r="94" spans="1:4">
      <c r="A94" s="16">
        <v>1</v>
      </c>
      <c r="C94" s="17"/>
      <c r="D94" s="23"/>
    </row>
    <row r="95" spans="1:4">
      <c r="A95" s="16">
        <v>1</v>
      </c>
      <c r="C95" s="17"/>
      <c r="D95" s="23"/>
    </row>
    <row r="96" spans="1:4">
      <c r="A96" s="16">
        <v>1</v>
      </c>
      <c r="C96" s="17"/>
      <c r="D96" s="23"/>
    </row>
    <row r="97" spans="1:4">
      <c r="A97" s="16">
        <v>1</v>
      </c>
      <c r="C97" s="17"/>
      <c r="D97" s="23"/>
    </row>
    <row r="98" spans="1:4">
      <c r="A98" s="16">
        <v>1</v>
      </c>
      <c r="C98" s="17"/>
      <c r="D98" s="23"/>
    </row>
    <row r="99" spans="1:4">
      <c r="A99" s="16">
        <v>1</v>
      </c>
      <c r="C99" s="17"/>
      <c r="D99" s="23"/>
    </row>
    <row r="100" spans="1:4">
      <c r="A100" s="16">
        <v>1</v>
      </c>
      <c r="C100" s="17"/>
      <c r="D100" s="23"/>
    </row>
    <row r="101" spans="1:4">
      <c r="A101" s="16">
        <v>1</v>
      </c>
      <c r="C101" s="17"/>
      <c r="D101" s="23"/>
    </row>
    <row r="102" spans="1:4">
      <c r="A102" s="16">
        <v>1</v>
      </c>
      <c r="C102" s="17"/>
      <c r="D102" s="23"/>
    </row>
    <row r="103" spans="1:4">
      <c r="A103" s="16">
        <v>1</v>
      </c>
      <c r="C103" s="17"/>
      <c r="D103" s="23"/>
    </row>
    <row r="104" spans="1:4">
      <c r="A104" s="16">
        <v>11</v>
      </c>
      <c r="C104" s="17"/>
      <c r="D104" s="23"/>
    </row>
    <row r="105" spans="1:4">
      <c r="A105" s="16">
        <v>1</v>
      </c>
      <c r="C105" s="17"/>
      <c r="D105" s="23"/>
    </row>
    <row r="106" spans="1:4">
      <c r="A106" s="16">
        <v>1</v>
      </c>
      <c r="C106" s="17"/>
      <c r="D106" s="23"/>
    </row>
    <row r="107" spans="1:4">
      <c r="A107" s="16">
        <v>1</v>
      </c>
      <c r="C107" s="17"/>
      <c r="D107" s="23"/>
    </row>
    <row r="108" spans="1:4">
      <c r="A108" s="16">
        <v>11</v>
      </c>
      <c r="C108" s="17"/>
      <c r="D108" s="23"/>
    </row>
    <row r="109" spans="1:4">
      <c r="A109" s="16">
        <v>1</v>
      </c>
      <c r="C109" s="17"/>
      <c r="D109" s="23"/>
    </row>
    <row r="110" spans="1:4">
      <c r="A110" s="16">
        <v>1</v>
      </c>
      <c r="C110" s="17"/>
      <c r="D110" s="23"/>
    </row>
    <row r="111" spans="1:4">
      <c r="A111" s="16">
        <v>1</v>
      </c>
      <c r="C111" s="17"/>
      <c r="D111" s="23"/>
    </row>
    <row r="112" spans="1:4">
      <c r="A112" s="16">
        <v>1</v>
      </c>
      <c r="C112" s="17"/>
      <c r="D112" s="23"/>
    </row>
    <row r="113" spans="1:4">
      <c r="A113" s="16">
        <v>11</v>
      </c>
      <c r="C113" s="17"/>
      <c r="D113" s="23"/>
    </row>
    <row r="114" spans="1:4">
      <c r="A114" s="16">
        <v>1</v>
      </c>
      <c r="C114" s="17"/>
      <c r="D114" s="23"/>
    </row>
    <row r="115" spans="1:4">
      <c r="A115" s="16">
        <v>1</v>
      </c>
      <c r="C115" s="17"/>
      <c r="D115" s="23"/>
    </row>
    <row r="116" spans="1:4">
      <c r="A116" s="16">
        <v>1</v>
      </c>
      <c r="C116" s="17"/>
      <c r="D116" s="23"/>
    </row>
    <row r="117" spans="1:4">
      <c r="A117" s="16">
        <v>1</v>
      </c>
      <c r="C117" s="17"/>
      <c r="D117" s="23"/>
    </row>
    <row r="118" spans="1:4">
      <c r="A118" s="16">
        <v>1</v>
      </c>
      <c r="C118" s="17"/>
      <c r="D118" s="23"/>
    </row>
    <row r="119" spans="1:4">
      <c r="A119" s="16">
        <v>1</v>
      </c>
      <c r="C119" s="17"/>
      <c r="D119" s="23"/>
    </row>
    <row r="120" spans="1:4">
      <c r="A120" s="16">
        <v>11</v>
      </c>
      <c r="C120" s="17"/>
      <c r="D120" s="23"/>
    </row>
    <row r="121" spans="1:4">
      <c r="A121" s="16">
        <v>1</v>
      </c>
      <c r="C121" s="17"/>
      <c r="D121" s="23"/>
    </row>
    <row r="122" spans="1:4">
      <c r="A122" s="16">
        <v>1</v>
      </c>
      <c r="C122" s="17"/>
      <c r="D122" s="23"/>
    </row>
    <row r="123" spans="1:4">
      <c r="A123" s="16">
        <v>1</v>
      </c>
      <c r="C123" s="17"/>
      <c r="D123" s="23"/>
    </row>
    <row r="124" spans="1:4">
      <c r="A124" s="16">
        <v>1</v>
      </c>
      <c r="C124" s="17"/>
      <c r="D124" s="23"/>
    </row>
    <row r="125" spans="1:4">
      <c r="A125" s="16">
        <v>1</v>
      </c>
      <c r="C125" s="17"/>
      <c r="D125" s="23"/>
    </row>
    <row r="126" spans="1:4">
      <c r="A126" s="16">
        <v>1</v>
      </c>
      <c r="C126" s="17"/>
      <c r="D126" s="23"/>
    </row>
    <row r="127" spans="1:4">
      <c r="A127" s="16">
        <v>1</v>
      </c>
      <c r="C127" s="17"/>
      <c r="D127" s="23"/>
    </row>
    <row r="128" spans="1:4">
      <c r="A128" s="16">
        <v>1</v>
      </c>
      <c r="C128" s="17"/>
      <c r="D128" s="23"/>
    </row>
    <row r="129" spans="1:4">
      <c r="A129" s="16">
        <v>1</v>
      </c>
      <c r="C129" s="17"/>
      <c r="D129" s="23"/>
    </row>
    <row r="130" spans="1:4">
      <c r="A130" s="16">
        <v>1</v>
      </c>
      <c r="C130" s="17"/>
      <c r="D130" s="23"/>
    </row>
    <row r="131" spans="1:4">
      <c r="A131" s="16">
        <v>1</v>
      </c>
      <c r="C131" s="17"/>
      <c r="D131" s="23"/>
    </row>
    <row r="132" spans="1:4">
      <c r="A132" s="16">
        <v>1</v>
      </c>
      <c r="C132" s="17"/>
      <c r="D132" s="23"/>
    </row>
    <row r="133" spans="1:4">
      <c r="A133" s="16">
        <v>1</v>
      </c>
      <c r="C133" s="17"/>
      <c r="D133" s="23"/>
    </row>
    <row r="134" spans="1:4">
      <c r="A134" s="16">
        <v>1</v>
      </c>
      <c r="C134" s="17"/>
      <c r="D134" s="23"/>
    </row>
    <row r="135" spans="1:4">
      <c r="A135" s="16">
        <v>1</v>
      </c>
      <c r="C135" s="17"/>
      <c r="D135" s="23"/>
    </row>
    <row r="136" spans="1:4">
      <c r="A136" s="16">
        <v>1</v>
      </c>
      <c r="C136" s="17"/>
      <c r="D136" s="23"/>
    </row>
    <row r="137" spans="1:4">
      <c r="A137" s="16">
        <v>1</v>
      </c>
      <c r="C137" s="17"/>
      <c r="D137" s="23"/>
    </row>
    <row r="138" spans="1:4">
      <c r="A138" s="16">
        <v>1</v>
      </c>
      <c r="C138" s="17"/>
      <c r="D138" s="23"/>
    </row>
    <row r="139" spans="1:4">
      <c r="A139" s="16">
        <v>1</v>
      </c>
      <c r="C139" s="17"/>
      <c r="D139" s="23"/>
    </row>
    <row r="140" spans="1:4">
      <c r="A140" s="16">
        <v>11</v>
      </c>
      <c r="C140" s="17"/>
      <c r="D140" s="23"/>
    </row>
    <row r="141" spans="1:4">
      <c r="A141" s="16">
        <v>1</v>
      </c>
      <c r="C141" s="17"/>
      <c r="D141" s="23"/>
    </row>
    <row r="142" spans="1:4">
      <c r="A142" s="16">
        <v>1</v>
      </c>
      <c r="C142" s="17"/>
      <c r="D142" s="23"/>
    </row>
    <row r="143" spans="1:4">
      <c r="A143" s="16">
        <v>1</v>
      </c>
      <c r="C143" s="17"/>
      <c r="D143" s="23"/>
    </row>
    <row r="144" spans="1:4">
      <c r="A144" s="16">
        <v>1</v>
      </c>
      <c r="C144" s="17"/>
      <c r="D144" s="23"/>
    </row>
    <row r="145" spans="1:4">
      <c r="A145" s="16">
        <v>1</v>
      </c>
      <c r="C145" s="17"/>
      <c r="D145" s="23"/>
    </row>
    <row r="146" spans="1:4">
      <c r="A146" s="16">
        <v>1</v>
      </c>
      <c r="C146" s="17"/>
      <c r="D146" s="23"/>
    </row>
    <row r="147" spans="1:4">
      <c r="A147" s="16">
        <v>1</v>
      </c>
      <c r="C147" s="17"/>
      <c r="D147" s="23"/>
    </row>
    <row r="148" spans="1:4">
      <c r="A148" s="16">
        <v>1</v>
      </c>
      <c r="C148" s="17"/>
      <c r="D148" s="23"/>
    </row>
    <row r="149" spans="1:4">
      <c r="A149" s="16">
        <v>1</v>
      </c>
      <c r="C149" s="17"/>
      <c r="D149" s="23"/>
    </row>
    <row r="150" spans="1:4">
      <c r="A150" s="16">
        <v>1</v>
      </c>
      <c r="C150" s="17"/>
      <c r="D150" s="23"/>
    </row>
    <row r="151" spans="1:4">
      <c r="A151" s="16">
        <v>1</v>
      </c>
      <c r="C151" s="17"/>
      <c r="D151" s="23"/>
    </row>
    <row r="152" spans="1:4">
      <c r="A152" s="16">
        <v>1</v>
      </c>
      <c r="C152" s="17"/>
      <c r="D152" s="23"/>
    </row>
    <row r="153" spans="1:4">
      <c r="A153" s="16">
        <v>1</v>
      </c>
      <c r="C153" s="17"/>
      <c r="D153" s="23"/>
    </row>
    <row r="154" spans="1:4">
      <c r="A154" s="16">
        <v>1</v>
      </c>
      <c r="C154" s="17"/>
      <c r="D154" s="23"/>
    </row>
    <row r="155" spans="1:4">
      <c r="A155" s="16">
        <v>1</v>
      </c>
      <c r="C155" s="17"/>
      <c r="D155" s="23"/>
    </row>
    <row r="156" spans="1:4">
      <c r="A156" s="16">
        <v>1</v>
      </c>
      <c r="C156" s="17"/>
      <c r="D156" s="23"/>
    </row>
    <row r="157" spans="1:4">
      <c r="A157" s="16">
        <v>1</v>
      </c>
      <c r="C157" s="17"/>
      <c r="D157" s="23"/>
    </row>
    <row r="158" spans="1:4">
      <c r="A158" s="16">
        <v>1</v>
      </c>
      <c r="C158" s="17"/>
      <c r="D158" s="23"/>
    </row>
    <row r="159" spans="1:4">
      <c r="A159" s="16">
        <v>1</v>
      </c>
      <c r="C159" s="17"/>
      <c r="D159" s="23"/>
    </row>
    <row r="160" spans="1:4">
      <c r="A160" s="16">
        <v>1</v>
      </c>
      <c r="C160" s="17"/>
      <c r="D160" s="23"/>
    </row>
    <row r="161" spans="1:4">
      <c r="A161" s="16">
        <v>1</v>
      </c>
      <c r="C161" s="17"/>
      <c r="D161" s="23"/>
    </row>
    <row r="162" spans="1:4">
      <c r="A162" s="16">
        <v>1</v>
      </c>
      <c r="C162" s="17"/>
      <c r="D162" s="23"/>
    </row>
    <row r="163" spans="1:4">
      <c r="A163" s="16">
        <v>1</v>
      </c>
      <c r="C163" s="17"/>
      <c r="D163" s="23"/>
    </row>
    <row r="164" spans="1:4">
      <c r="A164" s="16">
        <v>1</v>
      </c>
      <c r="C164" s="17"/>
      <c r="D164" s="23"/>
    </row>
    <row r="165" spans="1:4">
      <c r="A165" s="16">
        <v>1</v>
      </c>
      <c r="C165" s="17"/>
      <c r="D165" s="23"/>
    </row>
    <row r="166" spans="1:4">
      <c r="A166" s="16">
        <v>1</v>
      </c>
      <c r="C166" s="17"/>
      <c r="D166" s="23"/>
    </row>
    <row r="167" spans="1:4">
      <c r="A167" s="16">
        <v>1</v>
      </c>
      <c r="C167" s="17"/>
      <c r="D167" s="23"/>
    </row>
    <row r="168" spans="1:4">
      <c r="A168" s="16">
        <v>1</v>
      </c>
      <c r="C168" s="17"/>
      <c r="D168" s="23"/>
    </row>
    <row r="169" spans="1:4">
      <c r="A169" s="16">
        <v>1</v>
      </c>
      <c r="C169" s="17"/>
      <c r="D169" s="23"/>
    </row>
    <row r="170" spans="1:4">
      <c r="A170" s="16">
        <v>1</v>
      </c>
      <c r="C170" s="17"/>
      <c r="D170" s="23"/>
    </row>
    <row r="171" spans="1:4">
      <c r="A171" s="16">
        <v>1</v>
      </c>
      <c r="C171" s="17"/>
      <c r="D171" s="23"/>
    </row>
    <row r="172" spans="1:4">
      <c r="A172" s="16">
        <v>1</v>
      </c>
      <c r="C172" s="17"/>
      <c r="D172" s="23"/>
    </row>
    <row r="173" spans="1:4">
      <c r="A173" s="16">
        <v>1</v>
      </c>
      <c r="C173" s="17"/>
      <c r="D173" s="23"/>
    </row>
    <row r="174" spans="1:4">
      <c r="A174" s="16">
        <v>1</v>
      </c>
      <c r="C174" s="17"/>
      <c r="D174" s="23"/>
    </row>
    <row r="175" spans="1:4">
      <c r="A175" s="16">
        <v>1</v>
      </c>
      <c r="C175" s="17"/>
      <c r="D175" s="23"/>
    </row>
    <row r="176" spans="1:4">
      <c r="A176" s="16">
        <v>1</v>
      </c>
      <c r="C176" s="17"/>
      <c r="D176" s="23"/>
    </row>
    <row r="177" spans="1:4">
      <c r="A177" s="16">
        <v>1</v>
      </c>
      <c r="C177" s="17"/>
      <c r="D177" s="23"/>
    </row>
    <row r="178" spans="1:4">
      <c r="A178" s="16">
        <v>1</v>
      </c>
      <c r="C178" s="17"/>
      <c r="D178" s="23"/>
    </row>
    <row r="179" spans="1:4">
      <c r="A179" s="16">
        <v>1</v>
      </c>
      <c r="C179" s="17"/>
      <c r="D179" s="23"/>
    </row>
    <row r="180" spans="1:4">
      <c r="A180" s="16">
        <v>1</v>
      </c>
      <c r="C180" s="17"/>
      <c r="D180" s="23"/>
    </row>
    <row r="181" spans="1:4">
      <c r="A181" s="16">
        <v>1</v>
      </c>
      <c r="C181" s="17"/>
      <c r="D181" s="23"/>
    </row>
    <row r="182" spans="1:4">
      <c r="A182" s="16">
        <v>1</v>
      </c>
      <c r="C182" s="17"/>
      <c r="D182" s="23"/>
    </row>
    <row r="183" spans="1:4">
      <c r="A183" s="16">
        <v>1</v>
      </c>
      <c r="C183" s="17"/>
      <c r="D183" s="23"/>
    </row>
    <row r="184" spans="1:4">
      <c r="A184" s="16">
        <v>1</v>
      </c>
      <c r="C184" s="17"/>
      <c r="D184" s="23"/>
    </row>
    <row r="185" spans="1:4">
      <c r="A185" s="16">
        <v>1</v>
      </c>
      <c r="C185" s="17"/>
      <c r="D185" s="23"/>
    </row>
    <row r="186" spans="1:4">
      <c r="A186" s="16">
        <v>1</v>
      </c>
      <c r="C186" s="17"/>
      <c r="D186" s="23"/>
    </row>
    <row r="187" spans="1:4">
      <c r="A187" s="16">
        <v>1</v>
      </c>
      <c r="C187" s="17"/>
      <c r="D187" s="23"/>
    </row>
    <row r="188" spans="1:4">
      <c r="A188" s="16">
        <v>1</v>
      </c>
      <c r="C188" s="17"/>
      <c r="D188" s="23"/>
    </row>
    <row r="189" spans="1:4">
      <c r="A189" s="16">
        <v>1</v>
      </c>
      <c r="C189" s="17"/>
      <c r="D189" s="23"/>
    </row>
    <row r="190" spans="1:4">
      <c r="A190" s="16">
        <v>1</v>
      </c>
      <c r="C190" s="17"/>
      <c r="D190" s="23"/>
    </row>
    <row r="191" spans="1:4">
      <c r="A191" s="16">
        <v>1</v>
      </c>
      <c r="C191" s="17"/>
      <c r="D191" s="23"/>
    </row>
    <row r="192" spans="1:4">
      <c r="A192" s="16">
        <v>1</v>
      </c>
      <c r="C192" s="17"/>
      <c r="D192" s="23"/>
    </row>
    <row r="193" spans="1:4">
      <c r="A193" s="16">
        <v>1</v>
      </c>
      <c r="C193" s="17"/>
      <c r="D193" s="23"/>
    </row>
    <row r="194" spans="1:4">
      <c r="A194" s="16">
        <v>1</v>
      </c>
      <c r="C194" s="17"/>
      <c r="D194" s="23"/>
    </row>
    <row r="195" spans="1:4">
      <c r="A195" s="16">
        <v>1</v>
      </c>
      <c r="C195" s="17"/>
      <c r="D195" s="23"/>
    </row>
    <row r="196" spans="1:4">
      <c r="A196" s="16">
        <v>1</v>
      </c>
      <c r="C196" s="17"/>
      <c r="D196" s="23"/>
    </row>
    <row r="197" spans="1:4">
      <c r="A197" s="16">
        <v>1</v>
      </c>
      <c r="C197" s="17"/>
      <c r="D197" s="23"/>
    </row>
    <row r="198" spans="1:4">
      <c r="A198" s="16">
        <v>1</v>
      </c>
      <c r="C198" s="17"/>
      <c r="D198" s="23"/>
    </row>
    <row r="199" spans="1:4">
      <c r="A199" s="16">
        <v>1</v>
      </c>
      <c r="C199" s="17"/>
      <c r="D199" s="23"/>
    </row>
    <row r="200" spans="1:4">
      <c r="A200" s="16">
        <v>1</v>
      </c>
      <c r="C200" s="17"/>
      <c r="D200" s="23"/>
    </row>
    <row r="201" spans="1:4">
      <c r="A201" s="16">
        <v>1</v>
      </c>
      <c r="C201" s="17"/>
      <c r="D201" s="23"/>
    </row>
    <row r="202" spans="1:4">
      <c r="A202" s="16">
        <v>1</v>
      </c>
      <c r="C202" s="17"/>
      <c r="D202" s="23"/>
    </row>
    <row r="203" spans="1:4">
      <c r="A203" s="16">
        <v>1</v>
      </c>
      <c r="C203" s="17"/>
      <c r="D203" s="23"/>
    </row>
    <row r="204" spans="1:4">
      <c r="A204" s="16">
        <v>1</v>
      </c>
      <c r="C204" s="17"/>
      <c r="D204" s="23"/>
    </row>
    <row r="205" spans="1:4">
      <c r="A205" s="16">
        <v>1</v>
      </c>
      <c r="C205" s="17"/>
      <c r="D205" s="23"/>
    </row>
    <row r="206" spans="1:4">
      <c r="A206" s="16">
        <v>1</v>
      </c>
      <c r="C206" s="17"/>
      <c r="D206" s="23"/>
    </row>
    <row r="207" spans="1:4">
      <c r="A207" s="16">
        <v>1</v>
      </c>
      <c r="C207" s="17"/>
      <c r="D207" s="23"/>
    </row>
    <row r="208" spans="1:4">
      <c r="A208" s="16">
        <v>1</v>
      </c>
      <c r="C208" s="17"/>
      <c r="D208" s="23"/>
    </row>
    <row r="209" spans="1:4">
      <c r="A209" s="16">
        <v>1</v>
      </c>
      <c r="C209" s="17"/>
      <c r="D209" s="23"/>
    </row>
    <row r="210" spans="1:4">
      <c r="A210" s="16">
        <v>1</v>
      </c>
      <c r="C210" s="17"/>
      <c r="D210" s="23"/>
    </row>
    <row r="211" spans="1:4">
      <c r="A211" s="16">
        <v>1</v>
      </c>
      <c r="C211" s="17"/>
      <c r="D211" s="23"/>
    </row>
    <row r="212" spans="1:4">
      <c r="A212" s="16">
        <v>1</v>
      </c>
      <c r="C212" s="17"/>
      <c r="D212" s="23"/>
    </row>
    <row r="213" spans="1:4">
      <c r="A213" s="16">
        <v>1</v>
      </c>
      <c r="C213" s="17"/>
      <c r="D213" s="23"/>
    </row>
    <row r="214" spans="1:4">
      <c r="A214" s="16">
        <v>1</v>
      </c>
      <c r="C214" s="17"/>
      <c r="D214" s="23"/>
    </row>
    <row r="215" spans="1:4">
      <c r="A215" s="16">
        <v>1</v>
      </c>
      <c r="C215" s="17"/>
      <c r="D215" s="23"/>
    </row>
    <row r="216" spans="1:4">
      <c r="A216" s="16">
        <v>11</v>
      </c>
      <c r="C216" s="17"/>
      <c r="D216" s="23"/>
    </row>
    <row r="217" spans="1:4">
      <c r="A217" s="16">
        <v>1</v>
      </c>
      <c r="C217" s="17"/>
      <c r="D217" s="23"/>
    </row>
    <row r="218" spans="1:4">
      <c r="A218" s="16">
        <v>1</v>
      </c>
      <c r="C218" s="17"/>
      <c r="D218" s="23"/>
    </row>
    <row r="219" spans="1:4">
      <c r="A219" s="16">
        <v>1</v>
      </c>
      <c r="C219" s="17"/>
      <c r="D219" s="23"/>
    </row>
    <row r="220" spans="1:4">
      <c r="A220" s="16">
        <v>1</v>
      </c>
      <c r="C220" s="17"/>
      <c r="D220" s="23"/>
    </row>
    <row r="221" spans="1:4">
      <c r="A221" s="16">
        <v>1</v>
      </c>
      <c r="C221" s="17"/>
      <c r="D221" s="23"/>
    </row>
    <row r="222" spans="1:4">
      <c r="A222" s="16">
        <v>1</v>
      </c>
      <c r="C222" s="17"/>
      <c r="D222" s="23"/>
    </row>
    <row r="223" spans="1:4">
      <c r="A223" s="16">
        <v>1</v>
      </c>
      <c r="C223" s="17"/>
      <c r="D223" s="23"/>
    </row>
    <row r="224" spans="1:4">
      <c r="A224" s="16">
        <v>1</v>
      </c>
      <c r="C224" s="17"/>
      <c r="D224" s="23"/>
    </row>
    <row r="225" spans="1:4">
      <c r="A225" s="16">
        <v>1</v>
      </c>
      <c r="C225" s="17"/>
      <c r="D225" s="23"/>
    </row>
    <row r="226" spans="1:4">
      <c r="A226" s="16">
        <v>1</v>
      </c>
      <c r="C226" s="17"/>
      <c r="D226" s="23"/>
    </row>
    <row r="227" spans="1:4">
      <c r="A227" s="16">
        <v>1</v>
      </c>
      <c r="C227" s="17"/>
      <c r="D227" s="23"/>
    </row>
    <row r="228" spans="1:4">
      <c r="A228" s="16">
        <v>1</v>
      </c>
      <c r="C228" s="17"/>
      <c r="D228" s="23"/>
    </row>
    <row r="229" spans="1:4">
      <c r="A229" s="16">
        <v>1</v>
      </c>
      <c r="C229" s="17"/>
      <c r="D229" s="23"/>
    </row>
    <row r="230" spans="1:4">
      <c r="A230" s="16">
        <v>1</v>
      </c>
      <c r="C230" s="17"/>
      <c r="D230" s="23"/>
    </row>
    <row r="231" spans="1:4">
      <c r="A231" s="16">
        <v>1</v>
      </c>
      <c r="C231" s="17"/>
      <c r="D231" s="23"/>
    </row>
    <row r="232" spans="1:4">
      <c r="A232" s="16">
        <v>1</v>
      </c>
      <c r="C232" s="17"/>
      <c r="D232" s="23"/>
    </row>
    <row r="233" spans="1:4">
      <c r="A233" s="16">
        <v>1</v>
      </c>
      <c r="C233" s="17"/>
      <c r="D233" s="23"/>
    </row>
    <row r="234" spans="1:4">
      <c r="A234" s="16">
        <v>1</v>
      </c>
      <c r="C234" s="17"/>
      <c r="D234" s="23"/>
    </row>
    <row r="235" spans="1:4">
      <c r="A235" s="16">
        <v>1</v>
      </c>
      <c r="C235" s="17"/>
      <c r="D235" s="23"/>
    </row>
    <row r="236" spans="1:4">
      <c r="A236" s="16">
        <v>1</v>
      </c>
      <c r="C236" s="17"/>
      <c r="D236" s="23"/>
    </row>
    <row r="237" spans="1:4">
      <c r="A237" s="16">
        <v>1</v>
      </c>
      <c r="C237" s="17"/>
      <c r="D237" s="23"/>
    </row>
    <row r="238" spans="1:4">
      <c r="A238" s="16">
        <v>1</v>
      </c>
      <c r="C238" s="17"/>
      <c r="D238" s="23"/>
    </row>
    <row r="239" spans="1:4">
      <c r="A239" s="16">
        <v>1</v>
      </c>
      <c r="C239" s="17"/>
      <c r="D239" s="23"/>
    </row>
    <row r="240" spans="1:4">
      <c r="A240" s="16">
        <v>1</v>
      </c>
      <c r="C240" s="17"/>
      <c r="D240" s="23"/>
    </row>
    <row r="241" spans="1:4">
      <c r="A241" s="16">
        <v>1</v>
      </c>
      <c r="C241" s="17"/>
      <c r="D241" s="23"/>
    </row>
    <row r="242" spans="1:4">
      <c r="A242" s="16">
        <v>1</v>
      </c>
      <c r="C242" s="17"/>
      <c r="D242" s="23"/>
    </row>
    <row r="243" spans="1:4">
      <c r="A243" s="16">
        <v>1</v>
      </c>
      <c r="C243" s="17"/>
      <c r="D243" s="23"/>
    </row>
    <row r="244" spans="1:4">
      <c r="A244" s="16">
        <v>1</v>
      </c>
      <c r="C244" s="17"/>
      <c r="D244" s="23"/>
    </row>
    <row r="245" spans="1:4">
      <c r="A245" s="16">
        <v>1</v>
      </c>
      <c r="C245" s="17"/>
      <c r="D245" s="23"/>
    </row>
    <row r="246" spans="1:4">
      <c r="A246" s="16">
        <v>1</v>
      </c>
      <c r="C246" s="17"/>
      <c r="D246" s="23"/>
    </row>
    <row r="247" spans="1:4">
      <c r="A247" s="16">
        <v>1</v>
      </c>
      <c r="C247" s="17"/>
      <c r="D247" s="23"/>
    </row>
    <row r="248" spans="1:4">
      <c r="A248" s="16">
        <v>1</v>
      </c>
      <c r="C248" s="17"/>
      <c r="D248" s="23"/>
    </row>
    <row r="249" spans="1:4">
      <c r="A249" s="16">
        <v>1</v>
      </c>
      <c r="C249" s="17"/>
      <c r="D249" s="23"/>
    </row>
    <row r="250" spans="1:4">
      <c r="A250" s="16">
        <v>1</v>
      </c>
      <c r="C250" s="17"/>
      <c r="D250" s="23"/>
    </row>
    <row r="251" spans="1:4">
      <c r="A251" s="16">
        <v>1</v>
      </c>
      <c r="C251" s="17"/>
      <c r="D251" s="23"/>
    </row>
    <row r="252" spans="1:4">
      <c r="A252" s="16">
        <v>1</v>
      </c>
      <c r="C252" s="17"/>
      <c r="D252" s="23"/>
    </row>
    <row r="253" spans="1:4">
      <c r="A253" s="16">
        <v>1</v>
      </c>
      <c r="C253" s="17"/>
      <c r="D253" s="23"/>
    </row>
    <row r="254" spans="1:4">
      <c r="A254" s="16">
        <v>1</v>
      </c>
      <c r="C254" s="17"/>
      <c r="D254" s="23"/>
    </row>
    <row r="255" spans="1:4">
      <c r="A255" s="16">
        <v>1</v>
      </c>
      <c r="C255" s="17"/>
      <c r="D255" s="23"/>
    </row>
    <row r="256" spans="1:4">
      <c r="A256" s="16">
        <v>1</v>
      </c>
      <c r="C256" s="17"/>
      <c r="D256" s="23"/>
    </row>
    <row r="257" spans="1:4">
      <c r="A257" s="16">
        <v>1</v>
      </c>
      <c r="C257" s="17"/>
      <c r="D257" s="23"/>
    </row>
    <row r="258" spans="1:4">
      <c r="A258" s="16">
        <v>1</v>
      </c>
      <c r="C258" s="17"/>
      <c r="D258" s="23"/>
    </row>
    <row r="259" spans="1:4">
      <c r="A259" s="16">
        <v>1</v>
      </c>
      <c r="C259" s="17"/>
      <c r="D259" s="23"/>
    </row>
    <row r="260" spans="1:4">
      <c r="A260" s="16">
        <v>1</v>
      </c>
      <c r="C260" s="17"/>
      <c r="D260" s="23"/>
    </row>
    <row r="261" spans="1:4">
      <c r="A261" s="16">
        <v>1</v>
      </c>
      <c r="C261" s="17"/>
      <c r="D261" s="23"/>
    </row>
    <row r="262" spans="1:4">
      <c r="A262" s="16">
        <v>1</v>
      </c>
      <c r="C262" s="17"/>
      <c r="D262" s="23"/>
    </row>
    <row r="263" spans="1:4">
      <c r="A263" s="16">
        <v>1</v>
      </c>
      <c r="C263" s="17"/>
      <c r="D263" s="23"/>
    </row>
    <row r="264" spans="1:4">
      <c r="A264" s="16">
        <v>1</v>
      </c>
      <c r="C264" s="17"/>
      <c r="D264" s="23"/>
    </row>
    <row r="265" spans="1:4">
      <c r="A265" s="16">
        <v>1</v>
      </c>
      <c r="C265" s="17"/>
      <c r="D265" s="23"/>
    </row>
    <row r="266" spans="1:4">
      <c r="A266" s="16">
        <v>1</v>
      </c>
      <c r="C266" s="17"/>
      <c r="D266" s="23"/>
    </row>
    <row r="267" spans="1:4">
      <c r="A267" s="16">
        <v>1</v>
      </c>
      <c r="C267" s="17"/>
      <c r="D267" s="23"/>
    </row>
    <row r="268" spans="1:4">
      <c r="A268" s="16">
        <v>1</v>
      </c>
      <c r="C268" s="17"/>
      <c r="D268" s="23"/>
    </row>
    <row r="269" spans="1:4">
      <c r="A269" s="16">
        <v>1</v>
      </c>
      <c r="C269" s="17"/>
      <c r="D269" s="23"/>
    </row>
    <row r="270" spans="1:4">
      <c r="A270" s="16">
        <v>1</v>
      </c>
      <c r="C270" s="17"/>
      <c r="D270" s="23"/>
    </row>
    <row r="271" spans="1:4">
      <c r="A271" s="16">
        <v>1</v>
      </c>
      <c r="C271" s="17"/>
      <c r="D271" s="23"/>
    </row>
    <row r="272" spans="1:4">
      <c r="A272" s="16">
        <v>1</v>
      </c>
      <c r="C272" s="17"/>
      <c r="D272" s="23"/>
    </row>
    <row r="273" spans="1:4">
      <c r="A273" s="16">
        <v>1</v>
      </c>
      <c r="C273" s="17"/>
      <c r="D273" s="23"/>
    </row>
    <row r="274" spans="1:4">
      <c r="A274" s="16">
        <v>1</v>
      </c>
      <c r="C274" s="17"/>
      <c r="D274" s="23"/>
    </row>
    <row r="275" spans="1:4">
      <c r="A275" s="16">
        <v>1</v>
      </c>
      <c r="C275" s="17"/>
      <c r="D275" s="23"/>
    </row>
    <row r="276" spans="1:4">
      <c r="A276" s="16">
        <v>1</v>
      </c>
      <c r="C276" s="17"/>
      <c r="D276" s="23"/>
    </row>
    <row r="277" spans="1:4">
      <c r="A277" s="16">
        <v>1</v>
      </c>
      <c r="C277" s="17"/>
      <c r="D277" s="23"/>
    </row>
    <row r="278" spans="1:4">
      <c r="A278" s="16">
        <v>1</v>
      </c>
      <c r="C278" s="17"/>
      <c r="D278" s="23"/>
    </row>
    <row r="279" spans="1:4">
      <c r="A279" s="16">
        <v>1</v>
      </c>
      <c r="C279" s="17"/>
      <c r="D279" s="23"/>
    </row>
    <row r="280" spans="1:4">
      <c r="A280" s="16">
        <v>1</v>
      </c>
      <c r="C280" s="17"/>
      <c r="D280" s="23"/>
    </row>
    <row r="281" spans="1:4">
      <c r="A281" s="16">
        <v>1</v>
      </c>
      <c r="C281" s="17"/>
      <c r="D281" s="23"/>
    </row>
    <row r="282" spans="1:4">
      <c r="A282" s="16">
        <v>1</v>
      </c>
      <c r="C282" s="17"/>
      <c r="D282" s="23"/>
    </row>
    <row r="283" spans="1:4">
      <c r="A283" s="16">
        <v>1</v>
      </c>
      <c r="C283" s="17"/>
      <c r="D283" s="23"/>
    </row>
    <row r="284" spans="1:4">
      <c r="A284" s="16">
        <v>1</v>
      </c>
      <c r="C284" s="17"/>
      <c r="D284" s="23"/>
    </row>
    <row r="285" spans="1:4">
      <c r="A285" s="16">
        <v>1</v>
      </c>
      <c r="C285" s="17"/>
      <c r="D285" s="23"/>
    </row>
    <row r="286" spans="1:4">
      <c r="A286" s="16">
        <v>1</v>
      </c>
      <c r="C286" s="17"/>
      <c r="D286" s="23"/>
    </row>
    <row r="287" spans="1:4">
      <c r="A287" s="16">
        <v>1</v>
      </c>
      <c r="C287" s="17"/>
      <c r="D287" s="23"/>
    </row>
    <row r="288" spans="1:4">
      <c r="A288" s="16">
        <v>1</v>
      </c>
      <c r="C288" s="17"/>
      <c r="D288" s="23"/>
    </row>
    <row r="289" spans="1:4">
      <c r="A289" s="16">
        <v>1</v>
      </c>
      <c r="C289" s="17"/>
      <c r="D289" s="23"/>
    </row>
    <row r="290" spans="1:4">
      <c r="A290" s="16">
        <v>1</v>
      </c>
      <c r="C290" s="17"/>
      <c r="D290" s="23"/>
    </row>
    <row r="291" spans="1:4">
      <c r="A291" s="16">
        <v>1</v>
      </c>
      <c r="C291" s="17"/>
      <c r="D291" s="23"/>
    </row>
    <row r="292" spans="1:4">
      <c r="A292" s="16">
        <v>1</v>
      </c>
      <c r="C292" s="17"/>
      <c r="D292" s="23"/>
    </row>
    <row r="293" spans="1:4">
      <c r="A293" s="16">
        <v>1</v>
      </c>
      <c r="C293" s="17"/>
      <c r="D293" s="23"/>
    </row>
    <row r="294" spans="1:4">
      <c r="A294" s="16">
        <v>1</v>
      </c>
      <c r="C294" s="17"/>
      <c r="D294" s="23"/>
    </row>
    <row r="295" spans="1:4">
      <c r="A295" s="16">
        <v>1</v>
      </c>
      <c r="C295" s="17"/>
      <c r="D295" s="23"/>
    </row>
    <row r="296" spans="1:4">
      <c r="A296" s="16">
        <v>1</v>
      </c>
      <c r="C296" s="17"/>
      <c r="D296" s="23"/>
    </row>
    <row r="297" spans="1:4">
      <c r="A297" s="16">
        <v>1</v>
      </c>
      <c r="C297" s="17"/>
      <c r="D297" s="23"/>
    </row>
    <row r="298" spans="1:4">
      <c r="A298" s="16">
        <v>1</v>
      </c>
      <c r="C298" s="17"/>
      <c r="D298" s="23"/>
    </row>
    <row r="299" spans="1:4">
      <c r="A299" s="16">
        <v>1</v>
      </c>
      <c r="C299" s="17"/>
      <c r="D299" s="23"/>
    </row>
    <row r="300" spans="1:4">
      <c r="A300" s="16">
        <v>1</v>
      </c>
      <c r="C300" s="17"/>
      <c r="D300" s="23"/>
    </row>
    <row r="301" spans="1:4">
      <c r="A301" s="16">
        <v>1</v>
      </c>
      <c r="C301" s="17"/>
      <c r="D301" s="23"/>
    </row>
    <row r="302" spans="1:4">
      <c r="A302" s="16">
        <v>1</v>
      </c>
      <c r="C302" s="17"/>
      <c r="D302" s="23"/>
    </row>
    <row r="303" spans="1:4">
      <c r="A303" s="16">
        <v>1</v>
      </c>
      <c r="C303" s="17"/>
      <c r="D303" s="23"/>
    </row>
    <row r="304" spans="1:4">
      <c r="A304" s="16">
        <v>1</v>
      </c>
      <c r="C304" s="17"/>
      <c r="D304" s="23"/>
    </row>
    <row r="305" spans="1:4">
      <c r="A305" s="16">
        <v>1</v>
      </c>
      <c r="C305" s="17"/>
      <c r="D305" s="23"/>
    </row>
    <row r="306" spans="1:4">
      <c r="A306" s="16">
        <v>1</v>
      </c>
      <c r="C306" s="17"/>
      <c r="D306" s="23"/>
    </row>
    <row r="307" spans="1:4">
      <c r="A307" s="16">
        <v>1</v>
      </c>
      <c r="C307" s="17"/>
      <c r="D307" s="23"/>
    </row>
    <row r="308" spans="1:4">
      <c r="A308" s="16">
        <v>1</v>
      </c>
      <c r="C308" s="17"/>
      <c r="D308" s="23"/>
    </row>
    <row r="309" spans="1:4">
      <c r="A309" s="16">
        <v>1</v>
      </c>
      <c r="C309" s="17"/>
      <c r="D309" s="23"/>
    </row>
    <row r="310" spans="1:4">
      <c r="A310" s="16">
        <v>1</v>
      </c>
      <c r="C310" s="17"/>
      <c r="D310" s="23"/>
    </row>
    <row r="311" spans="1:4">
      <c r="A311" s="16">
        <v>1</v>
      </c>
      <c r="C311" s="17"/>
      <c r="D311" s="23"/>
    </row>
    <row r="312" spans="1:4">
      <c r="A312" s="16">
        <v>1</v>
      </c>
      <c r="C312" s="17"/>
      <c r="D312" s="23"/>
    </row>
    <row r="313" spans="1:4">
      <c r="A313" s="16">
        <v>1</v>
      </c>
      <c r="C313" s="17"/>
      <c r="D313" s="23"/>
    </row>
    <row r="314" spans="1:4">
      <c r="A314" s="16">
        <v>1</v>
      </c>
      <c r="C314" s="17"/>
      <c r="D314" s="23"/>
    </row>
    <row r="315" spans="1:4">
      <c r="A315" s="16">
        <v>1</v>
      </c>
      <c r="C315" s="17"/>
      <c r="D315" s="23"/>
    </row>
    <row r="316" spans="1:4">
      <c r="A316" s="16">
        <v>1</v>
      </c>
      <c r="C316" s="17"/>
      <c r="D316" s="23"/>
    </row>
    <row r="317" spans="1:4">
      <c r="A317" s="16">
        <v>1</v>
      </c>
      <c r="C317" s="17"/>
      <c r="D317" s="23"/>
    </row>
    <row r="318" spans="1:4">
      <c r="A318" s="16">
        <v>1</v>
      </c>
      <c r="C318" s="17"/>
      <c r="D318" s="23"/>
    </row>
    <row r="319" spans="1:4">
      <c r="A319" s="16">
        <v>1</v>
      </c>
      <c r="C319" s="17"/>
      <c r="D319" s="23"/>
    </row>
    <row r="320" spans="1:4">
      <c r="A320" s="16">
        <v>1</v>
      </c>
      <c r="C320" s="17"/>
      <c r="D320" s="23"/>
    </row>
    <row r="321" spans="1:4">
      <c r="A321" s="16">
        <v>1</v>
      </c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452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59</v>
      </c>
      <c r="C1" s="81" t="s">
        <v>60</v>
      </c>
      <c r="D1" s="81" t="s">
        <v>84</v>
      </c>
      <c r="E1" s="81" t="s">
        <v>85</v>
      </c>
      <c r="F1" s="81" t="s">
        <v>376</v>
      </c>
      <c r="G1" s="81" t="s">
        <v>45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152</v>
      </c>
      <c r="GW1" s="81" t="s">
        <v>145</v>
      </c>
      <c r="GX1" s="81" t="s">
        <v>146</v>
      </c>
      <c r="GY1" s="81" t="s">
        <v>46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224</v>
      </c>
      <c r="BXW1" s="81" t="s">
        <v>147</v>
      </c>
      <c r="BXX1" s="81" t="s">
        <v>146</v>
      </c>
      <c r="BXY1" s="81" t="s">
        <v>76</v>
      </c>
      <c r="BXZ1" s="81" t="s">
        <v>61</v>
      </c>
      <c r="BYA1" s="81" t="s">
        <v>62</v>
      </c>
      <c r="BYB1" s="81" t="s">
        <v>77</v>
      </c>
      <c r="BYC1" s="81" t="s">
        <v>63</v>
      </c>
      <c r="BYD1" s="81" t="s">
        <v>64</v>
      </c>
      <c r="BYE1" s="81" t="s">
        <v>78</v>
      </c>
      <c r="BYF1" s="81" t="s">
        <v>65</v>
      </c>
      <c r="BYG1" s="81" t="s">
        <v>66</v>
      </c>
      <c r="BYH1" s="81" t="s">
        <v>79</v>
      </c>
      <c r="BYI1" s="81" t="s">
        <v>67</v>
      </c>
      <c r="BYJ1" s="81" t="s">
        <v>80</v>
      </c>
      <c r="BYK1" s="81">
        <v>5</v>
      </c>
      <c r="BYL1" s="81" t="s">
        <v>68</v>
      </c>
      <c r="BYM1" s="81" t="s">
        <v>69</v>
      </c>
      <c r="BYN1" s="81" t="s">
        <v>81</v>
      </c>
      <c r="BYO1" s="81" t="s">
        <v>70</v>
      </c>
      <c r="BYP1" s="81" t="s">
        <v>71</v>
      </c>
      <c r="BYQ1" s="81" t="s">
        <v>82</v>
      </c>
      <c r="BYR1" s="81" t="s">
        <v>72</v>
      </c>
      <c r="BYS1" s="81" t="s">
        <v>73</v>
      </c>
      <c r="BYT1" s="81" t="s">
        <v>83</v>
      </c>
      <c r="BYU1" s="81" t="s">
        <v>74</v>
      </c>
      <c r="BYV1" s="81" t="s">
        <v>75</v>
      </c>
      <c r="BYX1" s="81" t="s">
        <v>414</v>
      </c>
      <c r="BYY1" s="81" t="s">
        <v>159</v>
      </c>
      <c r="BYZ1" s="81" t="s">
        <v>160</v>
      </c>
      <c r="BZA1" s="81" t="s">
        <v>161</v>
      </c>
      <c r="BZB1" s="81" t="s">
        <v>162</v>
      </c>
      <c r="BZC1" s="81" t="s">
        <v>163</v>
      </c>
      <c r="BZD1" s="81" t="s">
        <v>164</v>
      </c>
      <c r="BZE1" s="81" t="s">
        <v>165</v>
      </c>
      <c r="BZF1" s="81" t="s">
        <v>166</v>
      </c>
      <c r="BZG1" s="81" t="s">
        <v>167</v>
      </c>
      <c r="BZH1" s="81" t="s">
        <v>168</v>
      </c>
      <c r="BZI1" s="81" t="s">
        <v>169</v>
      </c>
      <c r="BZJ1" s="81" t="s">
        <v>170</v>
      </c>
      <c r="BZK1" s="81" t="s">
        <v>171</v>
      </c>
      <c r="BZL1" s="81" t="s">
        <v>172</v>
      </c>
      <c r="BZM1" s="81" t="s">
        <v>173</v>
      </c>
      <c r="BZN1" s="81" t="s">
        <v>174</v>
      </c>
      <c r="BZO1" s="81" t="s">
        <v>175</v>
      </c>
      <c r="BZP1" s="81" t="s">
        <v>176</v>
      </c>
      <c r="BZQ1" s="81" t="s">
        <v>177</v>
      </c>
      <c r="BZR1" s="81" t="s">
        <v>178</v>
      </c>
      <c r="BZS1" s="81" t="s">
        <v>179</v>
      </c>
      <c r="BZT1" s="81" t="s">
        <v>180</v>
      </c>
      <c r="BZU1" s="81" t="s">
        <v>181</v>
      </c>
      <c r="BZV1" s="81" t="s">
        <v>182</v>
      </c>
      <c r="BZW1" s="81" t="s">
        <v>183</v>
      </c>
      <c r="BZX1" s="81" t="s">
        <v>184</v>
      </c>
      <c r="BZY1" s="81" t="s">
        <v>185</v>
      </c>
      <c r="BZZ1" s="81" t="s">
        <v>186</v>
      </c>
      <c r="CAA1" s="81" t="s">
        <v>187</v>
      </c>
      <c r="CAB1" s="81" t="s">
        <v>188</v>
      </c>
      <c r="CAD1" s="81" t="s">
        <v>0</v>
      </c>
      <c r="CAE1" s="81" t="s">
        <v>148</v>
      </c>
      <c r="CAF1" s="81" t="s">
        <v>149</v>
      </c>
      <c r="CAG1" s="81" t="s">
        <v>58</v>
      </c>
      <c r="CAH1" s="81" t="s">
        <v>27</v>
      </c>
      <c r="CAI1" s="81" t="s">
        <v>153</v>
      </c>
      <c r="CAJ1" s="81" t="s">
        <v>151</v>
      </c>
      <c r="CAK1" s="81" t="s">
        <v>150</v>
      </c>
      <c r="CAM1" s="81" t="s">
        <v>225</v>
      </c>
      <c r="CAN1" s="81" t="s">
        <v>226</v>
      </c>
      <c r="CAO1" s="81" t="s">
        <v>285</v>
      </c>
      <c r="CAP1" s="81" t="s">
        <v>316</v>
      </c>
      <c r="CAQ1" s="81" t="s">
        <v>317</v>
      </c>
      <c r="CAR1" s="81" t="s">
        <v>227</v>
      </c>
      <c r="CAS1" s="81" t="s">
        <v>228</v>
      </c>
      <c r="CAT1" s="81" t="s">
        <v>286</v>
      </c>
      <c r="CAU1" s="81" t="s">
        <v>318</v>
      </c>
      <c r="CAV1" s="81" t="s">
        <v>319</v>
      </c>
      <c r="CAW1" s="81" t="s">
        <v>229</v>
      </c>
      <c r="CAX1" s="81" t="s">
        <v>230</v>
      </c>
      <c r="CAY1" s="81" t="s">
        <v>287</v>
      </c>
      <c r="CAZ1" s="81" t="s">
        <v>320</v>
      </c>
      <c r="CBA1" s="81" t="s">
        <v>321</v>
      </c>
      <c r="CBB1" s="81" t="s">
        <v>231</v>
      </c>
      <c r="CBC1" s="81" t="s">
        <v>232</v>
      </c>
      <c r="CBD1" s="81" t="s">
        <v>288</v>
      </c>
      <c r="CBE1" s="81" t="s">
        <v>322</v>
      </c>
      <c r="CBF1" s="81" t="s">
        <v>323</v>
      </c>
      <c r="CBG1" s="81" t="s">
        <v>233</v>
      </c>
      <c r="CBH1" s="81" t="s">
        <v>234</v>
      </c>
      <c r="CBI1" s="81" t="s">
        <v>289</v>
      </c>
      <c r="CBJ1" s="81" t="s">
        <v>324</v>
      </c>
      <c r="CBK1" s="81" t="s">
        <v>325</v>
      </c>
      <c r="CBL1" s="81" t="s">
        <v>235</v>
      </c>
      <c r="CBM1" s="81" t="s">
        <v>236</v>
      </c>
      <c r="CBN1" s="81" t="s">
        <v>290</v>
      </c>
      <c r="CBO1" s="81" t="s">
        <v>326</v>
      </c>
      <c r="CBP1" s="81" t="s">
        <v>327</v>
      </c>
      <c r="CBQ1" s="81" t="s">
        <v>237</v>
      </c>
      <c r="CBR1" s="81" t="s">
        <v>238</v>
      </c>
      <c r="CBS1" s="81" t="s">
        <v>291</v>
      </c>
      <c r="CBT1" s="81" t="s">
        <v>328</v>
      </c>
      <c r="CBU1" s="81" t="s">
        <v>329</v>
      </c>
      <c r="CBV1" s="81" t="s">
        <v>239</v>
      </c>
      <c r="CBW1" s="81" t="s">
        <v>240</v>
      </c>
      <c r="CBX1" s="81" t="s">
        <v>292</v>
      </c>
      <c r="CBY1" s="81" t="s">
        <v>330</v>
      </c>
      <c r="CBZ1" s="81" t="s">
        <v>331</v>
      </c>
      <c r="CCA1" s="81" t="s">
        <v>241</v>
      </c>
      <c r="CCB1" s="81" t="s">
        <v>242</v>
      </c>
      <c r="CCC1" s="81" t="s">
        <v>293</v>
      </c>
      <c r="CCD1" s="81" t="s">
        <v>332</v>
      </c>
      <c r="CCE1" s="81" t="s">
        <v>333</v>
      </c>
      <c r="CCF1" s="81" t="s">
        <v>243</v>
      </c>
      <c r="CCG1" s="81" t="s">
        <v>244</v>
      </c>
      <c r="CCH1" s="81" t="s">
        <v>294</v>
      </c>
      <c r="CCI1" s="81" t="s">
        <v>334</v>
      </c>
      <c r="CCJ1" s="81" t="s">
        <v>335</v>
      </c>
      <c r="CCK1" s="81" t="s">
        <v>245</v>
      </c>
      <c r="CCL1" s="81" t="s">
        <v>246</v>
      </c>
      <c r="CCM1" s="81" t="s">
        <v>295</v>
      </c>
      <c r="CCN1" s="81" t="s">
        <v>336</v>
      </c>
      <c r="CCO1" s="81" t="s">
        <v>337</v>
      </c>
      <c r="CCP1" s="81" t="s">
        <v>247</v>
      </c>
      <c r="CCQ1" s="81" t="s">
        <v>248</v>
      </c>
      <c r="CCR1" s="81" t="s">
        <v>296</v>
      </c>
      <c r="CCS1" s="81" t="s">
        <v>338</v>
      </c>
      <c r="CCT1" s="81" t="s">
        <v>339</v>
      </c>
      <c r="CCU1" s="81" t="s">
        <v>249</v>
      </c>
      <c r="CCV1" s="81" t="s">
        <v>250</v>
      </c>
      <c r="CCW1" s="81" t="s">
        <v>297</v>
      </c>
      <c r="CCX1" s="81" t="s">
        <v>340</v>
      </c>
      <c r="CCY1" s="81" t="s">
        <v>341</v>
      </c>
      <c r="CCZ1" s="81" t="s">
        <v>251</v>
      </c>
      <c r="CDA1" s="81" t="s">
        <v>252</v>
      </c>
      <c r="CDB1" s="81" t="s">
        <v>298</v>
      </c>
      <c r="CDC1" s="81" t="s">
        <v>342</v>
      </c>
      <c r="CDD1" s="81" t="s">
        <v>343</v>
      </c>
      <c r="CDE1" s="81" t="s">
        <v>253</v>
      </c>
      <c r="CDF1" s="81" t="s">
        <v>254</v>
      </c>
      <c r="CDG1" s="81" t="s">
        <v>299</v>
      </c>
      <c r="CDH1" s="81" t="s">
        <v>344</v>
      </c>
      <c r="CDI1" s="81" t="s">
        <v>345</v>
      </c>
      <c r="CDJ1" s="81" t="s">
        <v>255</v>
      </c>
      <c r="CDK1" s="81" t="s">
        <v>256</v>
      </c>
      <c r="CDL1" s="81" t="s">
        <v>300</v>
      </c>
      <c r="CDM1" s="81" t="s">
        <v>346</v>
      </c>
      <c r="CDN1" s="81" t="s">
        <v>347</v>
      </c>
      <c r="CDO1" s="81" t="s">
        <v>257</v>
      </c>
      <c r="CDP1" s="81" t="s">
        <v>258</v>
      </c>
      <c r="CDQ1" s="81" t="s">
        <v>301</v>
      </c>
      <c r="CDR1" s="81" t="s">
        <v>348</v>
      </c>
      <c r="CDS1" s="81" t="s">
        <v>349</v>
      </c>
      <c r="CDT1" s="81" t="s">
        <v>259</v>
      </c>
      <c r="CDU1" s="81" t="s">
        <v>260</v>
      </c>
      <c r="CDV1" s="81" t="s">
        <v>302</v>
      </c>
      <c r="CDW1" s="81" t="s">
        <v>350</v>
      </c>
      <c r="CDX1" s="81" t="s">
        <v>351</v>
      </c>
      <c r="CDY1" s="81" t="s">
        <v>261</v>
      </c>
      <c r="CDZ1" s="81" t="s">
        <v>262</v>
      </c>
      <c r="CEA1" s="81" t="s">
        <v>303</v>
      </c>
      <c r="CEB1" s="81" t="s">
        <v>352</v>
      </c>
      <c r="CEC1" s="81" t="s">
        <v>353</v>
      </c>
      <c r="CED1" s="81" t="s">
        <v>263</v>
      </c>
      <c r="CEE1" s="81" t="s">
        <v>264</v>
      </c>
      <c r="CEF1" s="81" t="s">
        <v>304</v>
      </c>
      <c r="CEG1" s="81" t="s">
        <v>354</v>
      </c>
      <c r="CEH1" s="81" t="s">
        <v>355</v>
      </c>
      <c r="CEI1" s="81" t="s">
        <v>265</v>
      </c>
      <c r="CEJ1" s="81" t="s">
        <v>266</v>
      </c>
      <c r="CEK1" s="81" t="s">
        <v>305</v>
      </c>
      <c r="CEL1" s="81" t="s">
        <v>356</v>
      </c>
      <c r="CEM1" s="81" t="s">
        <v>357</v>
      </c>
      <c r="CEN1" s="81" t="s">
        <v>267</v>
      </c>
      <c r="CEO1" s="81" t="s">
        <v>268</v>
      </c>
      <c r="CEP1" s="81" t="s">
        <v>306</v>
      </c>
      <c r="CEQ1" s="81" t="s">
        <v>358</v>
      </c>
      <c r="CER1" s="81" t="s">
        <v>359</v>
      </c>
      <c r="CES1" s="81" t="s">
        <v>269</v>
      </c>
      <c r="CET1" s="81" t="s">
        <v>270</v>
      </c>
      <c r="CEU1" s="81" t="s">
        <v>307</v>
      </c>
      <c r="CEV1" s="81" t="s">
        <v>360</v>
      </c>
      <c r="CEW1" s="81" t="s">
        <v>361</v>
      </c>
      <c r="CEX1" s="81" t="s">
        <v>271</v>
      </c>
      <c r="CEY1" s="81" t="s">
        <v>272</v>
      </c>
      <c r="CEZ1" s="81" t="s">
        <v>308</v>
      </c>
      <c r="CFA1" s="81" t="s">
        <v>362</v>
      </c>
      <c r="CFB1" s="81" t="s">
        <v>363</v>
      </c>
      <c r="CFC1" s="81" t="s">
        <v>273</v>
      </c>
      <c r="CFD1" s="81" t="s">
        <v>274</v>
      </c>
      <c r="CFE1" s="81" t="s">
        <v>309</v>
      </c>
      <c r="CFF1" s="81" t="s">
        <v>364</v>
      </c>
      <c r="CFG1" s="81" t="s">
        <v>365</v>
      </c>
      <c r="CFH1" s="81" t="s">
        <v>275</v>
      </c>
      <c r="CFI1" s="81" t="s">
        <v>276</v>
      </c>
      <c r="CFJ1" s="81" t="s">
        <v>310</v>
      </c>
      <c r="CFK1" s="81" t="s">
        <v>366</v>
      </c>
      <c r="CFL1" s="81" t="s">
        <v>367</v>
      </c>
      <c r="CFM1" s="81" t="s">
        <v>277</v>
      </c>
      <c r="CFN1" s="81" t="s">
        <v>278</v>
      </c>
      <c r="CFO1" s="81" t="s">
        <v>311</v>
      </c>
      <c r="CFP1" s="81" t="s">
        <v>368</v>
      </c>
      <c r="CFQ1" s="81" t="s">
        <v>369</v>
      </c>
      <c r="CFR1" s="81" t="s">
        <v>279</v>
      </c>
      <c r="CFS1" s="81" t="s">
        <v>280</v>
      </c>
      <c r="CFT1" s="81" t="s">
        <v>312</v>
      </c>
      <c r="CFU1" s="81" t="s">
        <v>370</v>
      </c>
      <c r="CFV1" s="81" t="s">
        <v>371</v>
      </c>
      <c r="CFW1" s="81" t="s">
        <v>281</v>
      </c>
      <c r="CFX1" s="81" t="s">
        <v>282</v>
      </c>
      <c r="CFY1" s="81" t="s">
        <v>313</v>
      </c>
      <c r="CFZ1" s="81" t="s">
        <v>372</v>
      </c>
      <c r="CGA1" s="81" t="s">
        <v>373</v>
      </c>
      <c r="CGB1" s="81" t="s">
        <v>283</v>
      </c>
      <c r="CGC1" s="81" t="s">
        <v>284</v>
      </c>
      <c r="CGD1" s="81" t="s">
        <v>314</v>
      </c>
      <c r="CGE1" s="81" t="s">
        <v>374</v>
      </c>
      <c r="CGF1" s="81" t="s">
        <v>375</v>
      </c>
      <c r="XFB1" s="81" t="s">
        <v>58</v>
      </c>
      <c r="XFC1" s="81" t="s">
        <v>156</v>
      </c>
      <c r="XFD1" s="81" t="s">
        <v>158</v>
      </c>
    </row>
    <row r="2" spans="1:2216 16381:16384">
      <c r="A2" s="82" t="s">
        <v>459</v>
      </c>
      <c r="B2" s="82">
        <v>4</v>
      </c>
      <c r="C2" s="82">
        <v>1</v>
      </c>
      <c r="D2" s="82">
        <v>2</v>
      </c>
      <c r="E2" s="82">
        <v>20</v>
      </c>
      <c r="F2" s="82" t="s">
        <v>418</v>
      </c>
      <c r="GY2" s="80" t="s">
        <v>488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</v>
      </c>
      <c r="IK2" s="84">
        <v>1</v>
      </c>
      <c r="IL2" s="84">
        <v>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11</v>
      </c>
      <c r="KC2" s="84">
        <v>1</v>
      </c>
      <c r="KD2" s="84">
        <v>1</v>
      </c>
      <c r="KE2" s="84">
        <v>11</v>
      </c>
      <c r="KF2" s="84">
        <v>1</v>
      </c>
      <c r="KG2" s="84">
        <v>1</v>
      </c>
      <c r="KH2" s="84">
        <v>1</v>
      </c>
      <c r="KI2" s="84">
        <v>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</v>
      </c>
      <c r="KT2" s="84">
        <v>1</v>
      </c>
      <c r="KU2" s="84">
        <v>1</v>
      </c>
      <c r="KV2" s="84">
        <v>1</v>
      </c>
      <c r="KW2" s="84">
        <v>1</v>
      </c>
      <c r="KX2" s="84">
        <v>11</v>
      </c>
      <c r="KY2" s="84">
        <v>1</v>
      </c>
      <c r="KZ2" s="84">
        <v>1</v>
      </c>
      <c r="LA2" s="84">
        <v>1</v>
      </c>
      <c r="LB2" s="84">
        <v>11</v>
      </c>
      <c r="LC2" s="84">
        <v>1</v>
      </c>
      <c r="LD2" s="84">
        <v>1</v>
      </c>
      <c r="LE2" s="84">
        <v>1</v>
      </c>
      <c r="LF2" s="84">
        <v>1</v>
      </c>
      <c r="LG2" s="84">
        <v>11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11</v>
      </c>
      <c r="LO2" s="84">
        <v>1</v>
      </c>
      <c r="LP2" s="84">
        <v>1</v>
      </c>
      <c r="LQ2" s="84">
        <v>1</v>
      </c>
      <c r="LR2" s="84">
        <v>1</v>
      </c>
      <c r="LS2" s="84">
        <v>1</v>
      </c>
      <c r="LT2" s="84">
        <v>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485</v>
      </c>
      <c r="BXX2" s="84" t="s">
        <v>154</v>
      </c>
      <c r="BYA2" s="81">
        <v>0</v>
      </c>
      <c r="BYX2" s="84">
        <v>1</v>
      </c>
      <c r="BYY2" s="84">
        <v>4</v>
      </c>
      <c r="CAD2" s="84" t="s">
        <v>459</v>
      </c>
      <c r="CAE2" s="84">
        <v>8.4</v>
      </c>
      <c r="CAF2" s="84">
        <v>5</v>
      </c>
      <c r="CAG2" s="84" t="s">
        <v>157</v>
      </c>
      <c r="CAH2" s="84" t="s">
        <v>460</v>
      </c>
      <c r="CAI2" s="84">
        <v>1794</v>
      </c>
      <c r="CAJ2" s="84" t="s">
        <v>461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144</v>
      </c>
      <c r="XFC2" s="81">
        <v>1</v>
      </c>
      <c r="XFD2" s="81">
        <v>1</v>
      </c>
    </row>
    <row r="3" spans="1:2216 16381:16384">
      <c r="A3" s="82" t="s">
        <v>462</v>
      </c>
      <c r="B3" s="82">
        <v>2</v>
      </c>
      <c r="C3" s="82">
        <v>1</v>
      </c>
      <c r="D3" s="82">
        <v>24</v>
      </c>
      <c r="E3" s="82">
        <v>2</v>
      </c>
      <c r="F3" s="82" t="s">
        <v>418</v>
      </c>
      <c r="GY3" s="80" t="s">
        <v>463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400</v>
      </c>
      <c r="BXX3" s="84" t="s">
        <v>154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157</v>
      </c>
      <c r="XFC3" s="82">
        <v>2</v>
      </c>
      <c r="XFD3" s="82">
        <v>2</v>
      </c>
    </row>
    <row r="4" spans="1:2216 16381:16384">
      <c r="A4" s="82" t="s">
        <v>464</v>
      </c>
      <c r="B4" s="82">
        <v>4</v>
      </c>
      <c r="C4" s="82">
        <v>1</v>
      </c>
      <c r="D4" s="82">
        <v>1</v>
      </c>
      <c r="E4" s="82">
        <v>10</v>
      </c>
      <c r="F4" s="82" t="s">
        <v>418</v>
      </c>
      <c r="GY4" s="80" t="s">
        <v>463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400</v>
      </c>
      <c r="BXX4" s="84" t="s">
        <v>154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465</v>
      </c>
      <c r="B5" s="82">
        <v>4</v>
      </c>
      <c r="C5" s="82">
        <v>2</v>
      </c>
      <c r="D5" s="82">
        <v>3</v>
      </c>
      <c r="E5" s="82">
        <v>6</v>
      </c>
      <c r="F5" s="82" t="s">
        <v>418</v>
      </c>
      <c r="GY5" s="80" t="s">
        <v>466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400</v>
      </c>
      <c r="BXX5" s="84" t="s">
        <v>154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467</v>
      </c>
      <c r="B6" s="82">
        <v>2</v>
      </c>
      <c r="C6" s="82">
        <v>1</v>
      </c>
      <c r="D6" s="82">
        <v>2</v>
      </c>
      <c r="E6" s="82">
        <v>14</v>
      </c>
      <c r="F6" s="82" t="s">
        <v>418</v>
      </c>
      <c r="GY6" s="80" t="s">
        <v>468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400</v>
      </c>
      <c r="BXX6" s="84" t="s">
        <v>154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420</v>
      </c>
      <c r="B7" s="82">
        <v>3</v>
      </c>
      <c r="C7" s="82">
        <v>1</v>
      </c>
      <c r="D7" s="82">
        <v>1</v>
      </c>
      <c r="E7" s="82">
        <v>24</v>
      </c>
      <c r="F7" s="82" t="s">
        <v>418</v>
      </c>
      <c r="GY7" s="79" t="s">
        <v>469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400</v>
      </c>
      <c r="BXX7" s="84" t="s">
        <v>154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417</v>
      </c>
      <c r="B8" s="82">
        <v>4</v>
      </c>
      <c r="C8" s="82">
        <v>1</v>
      </c>
      <c r="D8" s="82">
        <v>1</v>
      </c>
      <c r="E8" s="82">
        <v>16</v>
      </c>
      <c r="F8" s="82" t="s">
        <v>418</v>
      </c>
      <c r="G8" s="82"/>
      <c r="GY8" s="79" t="s">
        <v>419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400</v>
      </c>
      <c r="BXX8" s="84" t="s">
        <v>154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421</v>
      </c>
      <c r="B9" s="82">
        <v>2</v>
      </c>
      <c r="C9" s="82">
        <v>2</v>
      </c>
      <c r="D9" s="82">
        <v>1</v>
      </c>
      <c r="E9" s="82">
        <v>12</v>
      </c>
      <c r="F9" s="82" t="s">
        <v>418</v>
      </c>
      <c r="GY9" s="79" t="s">
        <v>422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400</v>
      </c>
      <c r="BXX9" s="84" t="s">
        <v>154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423</v>
      </c>
      <c r="B10" s="82">
        <v>2</v>
      </c>
      <c r="C10" s="82">
        <v>2</v>
      </c>
      <c r="D10" s="82">
        <v>2</v>
      </c>
      <c r="E10" s="82">
        <v>24</v>
      </c>
      <c r="F10" s="82" t="s">
        <v>418</v>
      </c>
      <c r="GY10" s="79" t="s">
        <v>424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400</v>
      </c>
      <c r="BXX10" s="84" t="s">
        <v>154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8" width="17.42578125" style="96" bestFit="1" customWidth="1"/>
    <col min="749" max="749" width="18.85546875" style="96" customWidth="1"/>
    <col min="750" max="16380" width="6.7109375" style="96"/>
    <col min="16381" max="16381" width="7.140625" style="96" customWidth="1"/>
    <col min="16382" max="16384" width="12.42578125" style="96" customWidth="1"/>
  </cols>
  <sheetData>
    <row r="1" spans="1:743 16382:16384">
      <c r="A1" s="96" t="s">
        <v>0</v>
      </c>
      <c r="B1" s="96" t="s">
        <v>38</v>
      </c>
      <c r="C1" s="97" t="s">
        <v>39</v>
      </c>
      <c r="D1" s="96" t="s">
        <v>43</v>
      </c>
      <c r="E1" s="96" t="s">
        <v>44</v>
      </c>
      <c r="F1" s="96" t="s">
        <v>32</v>
      </c>
      <c r="G1" s="96" t="str">
        <f>IF(D1="block X","Số PCB/1Sheet",D1*E1)</f>
        <v>Số PCB/1Sheet</v>
      </c>
      <c r="H1" s="96" t="s">
        <v>92</v>
      </c>
      <c r="I1" s="96" t="s">
        <v>93</v>
      </c>
      <c r="J1" s="96" t="s">
        <v>94</v>
      </c>
      <c r="K1" s="96" t="s">
        <v>95</v>
      </c>
      <c r="L1" s="96" t="s">
        <v>96</v>
      </c>
      <c r="M1" s="96" t="s">
        <v>97</v>
      </c>
      <c r="N1" s="96" t="s">
        <v>126</v>
      </c>
      <c r="O1" s="96" t="s">
        <v>98</v>
      </c>
      <c r="P1" s="96" t="s">
        <v>99</v>
      </c>
      <c r="Q1" s="96" t="s">
        <v>100</v>
      </c>
      <c r="R1" s="96" t="s">
        <v>101</v>
      </c>
      <c r="S1" s="96" t="s">
        <v>102</v>
      </c>
      <c r="T1" s="98" t="s">
        <v>143</v>
      </c>
      <c r="U1" s="96" t="s">
        <v>103</v>
      </c>
      <c r="V1" s="96" t="s">
        <v>104</v>
      </c>
      <c r="W1" s="96" t="s">
        <v>105</v>
      </c>
      <c r="X1" s="96" t="s">
        <v>106</v>
      </c>
      <c r="Y1" s="96" t="s">
        <v>107</v>
      </c>
      <c r="Z1" s="98" t="s">
        <v>127</v>
      </c>
      <c r="AA1" s="96" t="s">
        <v>108</v>
      </c>
      <c r="AB1" s="96" t="s">
        <v>109</v>
      </c>
      <c r="AC1" s="96" t="s">
        <v>110</v>
      </c>
      <c r="AD1" s="96" t="s">
        <v>111</v>
      </c>
      <c r="AE1" s="96" t="s">
        <v>112</v>
      </c>
      <c r="AF1" s="98" t="s">
        <v>86</v>
      </c>
      <c r="AG1" s="96" t="s">
        <v>87</v>
      </c>
      <c r="AH1" s="96" t="s">
        <v>88</v>
      </c>
      <c r="AI1" s="96" t="s">
        <v>89</v>
      </c>
      <c r="AJ1" s="96" t="s">
        <v>90</v>
      </c>
      <c r="AK1" s="96" t="s">
        <v>91</v>
      </c>
      <c r="AL1" s="98" t="s">
        <v>120</v>
      </c>
      <c r="AM1" s="96" t="s">
        <v>121</v>
      </c>
      <c r="AN1" s="96" t="s">
        <v>122</v>
      </c>
      <c r="AO1" s="96" t="s">
        <v>123</v>
      </c>
      <c r="AP1" s="96" t="s">
        <v>124</v>
      </c>
      <c r="AQ1" s="96" t="s">
        <v>125</v>
      </c>
      <c r="AR1" s="96" t="s">
        <v>128</v>
      </c>
      <c r="AS1" s="96" t="s">
        <v>47</v>
      </c>
      <c r="AT1" s="96" t="s">
        <v>48</v>
      </c>
      <c r="AU1" s="96" t="s">
        <v>49</v>
      </c>
      <c r="AV1" s="96" t="s">
        <v>50</v>
      </c>
      <c r="AW1" s="96" t="s">
        <v>113</v>
      </c>
      <c r="AX1" s="96" t="s">
        <v>114</v>
      </c>
      <c r="AY1" s="96" t="s">
        <v>115</v>
      </c>
      <c r="AZ1" s="96" t="s">
        <v>116</v>
      </c>
      <c r="BA1" s="96" t="s">
        <v>117</v>
      </c>
      <c r="BB1" s="96" t="s">
        <v>118</v>
      </c>
      <c r="BC1" s="96" t="s">
        <v>119</v>
      </c>
      <c r="BD1" s="98" t="s">
        <v>23</v>
      </c>
      <c r="BE1" s="99" t="s">
        <v>24</v>
      </c>
      <c r="BF1" s="99" t="s">
        <v>25</v>
      </c>
      <c r="BG1" s="99" t="s">
        <v>26</v>
      </c>
      <c r="BH1" s="99" t="s">
        <v>27</v>
      </c>
      <c r="BI1" s="99" t="s">
        <v>28</v>
      </c>
      <c r="BJ1" s="99" t="s">
        <v>29</v>
      </c>
      <c r="BK1" s="99" t="s">
        <v>30</v>
      </c>
      <c r="BL1" s="99" t="s">
        <v>31</v>
      </c>
      <c r="BM1" s="98" t="s">
        <v>142</v>
      </c>
      <c r="BN1" s="96" t="s">
        <v>41</v>
      </c>
      <c r="BO1" s="96" t="s">
        <v>40</v>
      </c>
      <c r="BQ1" s="96" t="s">
        <v>42</v>
      </c>
      <c r="BS1" s="96" t="s">
        <v>129</v>
      </c>
      <c r="BT1" s="96" t="s">
        <v>144</v>
      </c>
      <c r="BU1" s="96" t="s">
        <v>157</v>
      </c>
      <c r="BV1" s="96" t="s">
        <v>471</v>
      </c>
      <c r="BW1" s="96" t="s">
        <v>472</v>
      </c>
      <c r="BX1" s="96" t="s">
        <v>470</v>
      </c>
      <c r="CF1" s="96" t="s">
        <v>130</v>
      </c>
      <c r="CG1" s="96" t="s">
        <v>144</v>
      </c>
      <c r="CH1" s="96" t="s">
        <v>157</v>
      </c>
      <c r="CI1" s="96" t="s">
        <v>471</v>
      </c>
      <c r="CJ1" s="96" t="s">
        <v>472</v>
      </c>
      <c r="CK1" s="96" t="s">
        <v>473</v>
      </c>
      <c r="CS1" s="96" t="s">
        <v>131</v>
      </c>
      <c r="CT1" s="96" t="s">
        <v>144</v>
      </c>
      <c r="CU1" s="96" t="s">
        <v>157</v>
      </c>
      <c r="CV1" s="96" t="s">
        <v>471</v>
      </c>
      <c r="CW1" s="96" t="s">
        <v>472</v>
      </c>
      <c r="CX1" s="96" t="s">
        <v>474</v>
      </c>
      <c r="DF1" s="96" t="s">
        <v>132</v>
      </c>
      <c r="DG1" s="96" t="s">
        <v>144</v>
      </c>
      <c r="DH1" s="96" t="s">
        <v>157</v>
      </c>
      <c r="DI1" s="96" t="s">
        <v>471</v>
      </c>
      <c r="DJ1" s="96" t="s">
        <v>472</v>
      </c>
      <c r="DK1" s="96" t="s">
        <v>475</v>
      </c>
      <c r="DS1" s="96" t="s">
        <v>133</v>
      </c>
      <c r="DT1" s="96" t="s">
        <v>144</v>
      </c>
      <c r="DU1" s="96" t="s">
        <v>157</v>
      </c>
      <c r="DV1" s="96" t="s">
        <v>471</v>
      </c>
      <c r="DW1" s="96" t="s">
        <v>472</v>
      </c>
      <c r="DX1" s="96" t="s">
        <v>476</v>
      </c>
      <c r="EF1" s="96" t="s">
        <v>134</v>
      </c>
      <c r="EG1" s="96" t="s">
        <v>144</v>
      </c>
      <c r="EH1" s="96" t="s">
        <v>157</v>
      </c>
      <c r="EI1" s="96" t="s">
        <v>471</v>
      </c>
      <c r="EJ1" s="96" t="s">
        <v>472</v>
      </c>
      <c r="EK1" s="96" t="s">
        <v>477</v>
      </c>
      <c r="ES1" s="96" t="s">
        <v>135</v>
      </c>
      <c r="ET1" s="96" t="s">
        <v>144</v>
      </c>
      <c r="EU1" s="96" t="s">
        <v>157</v>
      </c>
      <c r="EV1" s="96" t="s">
        <v>471</v>
      </c>
      <c r="EW1" s="96" t="s">
        <v>472</v>
      </c>
      <c r="EX1" s="96" t="s">
        <v>478</v>
      </c>
      <c r="FF1" s="96" t="s">
        <v>136</v>
      </c>
      <c r="FG1" s="96" t="s">
        <v>144</v>
      </c>
      <c r="FH1" s="96" t="s">
        <v>157</v>
      </c>
      <c r="FI1" s="96" t="s">
        <v>471</v>
      </c>
      <c r="FJ1" s="96" t="s">
        <v>472</v>
      </c>
      <c r="FK1" s="96" t="s">
        <v>479</v>
      </c>
      <c r="FS1" s="96" t="s">
        <v>137</v>
      </c>
      <c r="FT1" s="96" t="s">
        <v>144</v>
      </c>
      <c r="FU1" s="96" t="s">
        <v>157</v>
      </c>
      <c r="FV1" s="96" t="s">
        <v>471</v>
      </c>
      <c r="FW1" s="96" t="s">
        <v>472</v>
      </c>
      <c r="FX1" s="96" t="s">
        <v>480</v>
      </c>
      <c r="GF1" s="96" t="s">
        <v>138</v>
      </c>
      <c r="GG1" s="96" t="s">
        <v>144</v>
      </c>
      <c r="GH1" s="96" t="s">
        <v>157</v>
      </c>
      <c r="GI1" s="96" t="s">
        <v>471</v>
      </c>
      <c r="GJ1" s="96" t="s">
        <v>472</v>
      </c>
      <c r="GK1" s="96" t="s">
        <v>481</v>
      </c>
      <c r="GS1" s="96" t="s">
        <v>139</v>
      </c>
      <c r="GT1" s="96" t="s">
        <v>144</v>
      </c>
      <c r="GU1" s="96" t="s">
        <v>157</v>
      </c>
      <c r="GV1" s="96" t="s">
        <v>471</v>
      </c>
      <c r="GW1" s="96" t="s">
        <v>472</v>
      </c>
      <c r="GX1" s="96" t="s">
        <v>482</v>
      </c>
      <c r="HF1" s="96" t="s">
        <v>140</v>
      </c>
      <c r="HG1" s="96" t="s">
        <v>144</v>
      </c>
      <c r="HH1" s="96" t="s">
        <v>157</v>
      </c>
      <c r="HI1" s="96" t="s">
        <v>471</v>
      </c>
      <c r="HJ1" s="96" t="s">
        <v>472</v>
      </c>
      <c r="HK1" s="96" t="s">
        <v>483</v>
      </c>
      <c r="HS1" s="96" t="s">
        <v>141</v>
      </c>
      <c r="HT1" s="96" t="s">
        <v>147</v>
      </c>
      <c r="HU1" s="96" t="s">
        <v>401</v>
      </c>
      <c r="HV1" s="96" t="s">
        <v>146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402</v>
      </c>
      <c r="ABE1" s="100" t="s">
        <v>413</v>
      </c>
      <c r="ABF1" s="100" t="s">
        <v>403</v>
      </c>
      <c r="ABG1" s="100" t="s">
        <v>404</v>
      </c>
      <c r="ABH1" s="100" t="s">
        <v>405</v>
      </c>
      <c r="ABI1" s="100" t="s">
        <v>406</v>
      </c>
      <c r="ABJ1" s="100" t="s">
        <v>407</v>
      </c>
      <c r="ABK1" s="100" t="s">
        <v>408</v>
      </c>
      <c r="ABL1" s="100" t="s">
        <v>409</v>
      </c>
      <c r="ABM1" s="100" t="s">
        <v>410</v>
      </c>
      <c r="ABN1" s="100" t="s">
        <v>411</v>
      </c>
      <c r="ABO1" s="100" t="s">
        <v>412</v>
      </c>
      <c r="XFB1" s="101" t="s">
        <v>58</v>
      </c>
      <c r="XFC1" s="101" t="s">
        <v>156</v>
      </c>
      <c r="XFD1" s="101" t="s">
        <v>158</v>
      </c>
    </row>
    <row r="2" spans="1:743 16382:16384">
      <c r="A2" s="96" t="s">
        <v>155</v>
      </c>
      <c r="B2" s="96" t="s">
        <v>397</v>
      </c>
      <c r="C2" s="97">
        <v>45017.625079999998</v>
      </c>
      <c r="D2" s="96">
        <v>12</v>
      </c>
      <c r="E2" s="96">
        <v>1</v>
      </c>
      <c r="F2" s="96">
        <v>7</v>
      </c>
      <c r="G2" s="96">
        <v>12</v>
      </c>
      <c r="H2" s="102">
        <v>0.48</v>
      </c>
      <c r="I2" s="102">
        <v>0.54</v>
      </c>
      <c r="J2" s="102">
        <v>0.54</v>
      </c>
      <c r="K2" s="102">
        <v>0.88</v>
      </c>
      <c r="L2" s="102">
        <v>0.88</v>
      </c>
      <c r="M2" s="102">
        <v>0.88</v>
      </c>
      <c r="N2" s="102">
        <v>0.88</v>
      </c>
      <c r="T2" s="102">
        <v>0.42</v>
      </c>
      <c r="U2" s="102">
        <v>0.44</v>
      </c>
      <c r="V2" s="102">
        <v>0.44</v>
      </c>
      <c r="W2" s="102">
        <v>0.78</v>
      </c>
      <c r="X2" s="102">
        <v>0.78</v>
      </c>
      <c r="Y2" s="102">
        <v>0.78</v>
      </c>
      <c r="Z2" s="102">
        <v>0.78</v>
      </c>
      <c r="AF2" s="96" t="s">
        <v>379</v>
      </c>
      <c r="AG2" s="96" t="s">
        <v>398</v>
      </c>
      <c r="AH2" s="96" t="s">
        <v>399</v>
      </c>
      <c r="AI2" s="96" t="s">
        <v>381</v>
      </c>
      <c r="AJ2" s="96" t="s">
        <v>383</v>
      </c>
      <c r="AK2" s="96" t="s">
        <v>382</v>
      </c>
      <c r="AL2" s="96" t="s">
        <v>384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D2" s="96" t="s">
        <v>155</v>
      </c>
      <c r="BE2" s="99">
        <v>1</v>
      </c>
      <c r="BF2" s="99">
        <v>1</v>
      </c>
      <c r="BG2" s="99" t="s">
        <v>144</v>
      </c>
      <c r="BH2" s="99" t="s">
        <v>454</v>
      </c>
      <c r="BI2" s="99">
        <v>0.85</v>
      </c>
      <c r="BJ2" s="99">
        <v>1</v>
      </c>
      <c r="BK2" s="99">
        <v>1</v>
      </c>
      <c r="BM2" s="103" t="s">
        <v>189</v>
      </c>
      <c r="BN2" s="104" t="s">
        <v>455</v>
      </c>
      <c r="BO2" s="104" t="s">
        <v>190</v>
      </c>
      <c r="BP2" s="104"/>
      <c r="BQ2" s="96" t="s">
        <v>485</v>
      </c>
      <c r="BX2" s="96">
        <v>12</v>
      </c>
      <c r="CF2" s="96">
        <v>1</v>
      </c>
      <c r="CG2" s="96">
        <v>1</v>
      </c>
      <c r="CH2" s="96">
        <v>1</v>
      </c>
      <c r="CI2" s="96">
        <v>1</v>
      </c>
      <c r="CJ2" s="96">
        <v>1</v>
      </c>
      <c r="CK2" s="96">
        <v>4</v>
      </c>
      <c r="CT2" s="96">
        <v>1</v>
      </c>
      <c r="CU2" s="96">
        <v>1</v>
      </c>
      <c r="CV2" s="96">
        <v>1</v>
      </c>
      <c r="CW2" s="96">
        <v>1</v>
      </c>
      <c r="CX2" s="96">
        <v>2</v>
      </c>
      <c r="DF2" s="96">
        <v>1</v>
      </c>
      <c r="DG2" s="96">
        <v>1</v>
      </c>
      <c r="DH2" s="96">
        <v>1</v>
      </c>
      <c r="DI2" s="96">
        <v>1</v>
      </c>
      <c r="DJ2" s="96">
        <v>1</v>
      </c>
      <c r="DK2" s="96">
        <v>4</v>
      </c>
      <c r="DS2" s="96">
        <v>1</v>
      </c>
      <c r="DT2" s="96">
        <v>1</v>
      </c>
      <c r="DU2" s="96">
        <v>1</v>
      </c>
      <c r="DV2" s="96">
        <v>1</v>
      </c>
      <c r="DW2" s="96">
        <v>1</v>
      </c>
      <c r="DX2" s="96">
        <v>4</v>
      </c>
      <c r="EF2" s="96">
        <v>1</v>
      </c>
      <c r="EG2" s="96">
        <v>1</v>
      </c>
      <c r="EH2" s="96">
        <v>1</v>
      </c>
      <c r="EI2" s="96">
        <v>1</v>
      </c>
      <c r="EJ2" s="96">
        <v>1</v>
      </c>
      <c r="EK2" s="96">
        <v>4</v>
      </c>
      <c r="ET2" s="96">
        <v>1</v>
      </c>
      <c r="EU2" s="96">
        <v>1</v>
      </c>
      <c r="EV2" s="96">
        <v>1</v>
      </c>
      <c r="EW2" s="96">
        <v>1</v>
      </c>
      <c r="EX2" s="96">
        <v>2</v>
      </c>
      <c r="HT2" s="96" t="s">
        <v>400</v>
      </c>
      <c r="HV2" s="96" t="s">
        <v>484</v>
      </c>
      <c r="HW2" s="96">
        <v>1</v>
      </c>
      <c r="HX2" s="96">
        <v>1</v>
      </c>
      <c r="HY2" s="96">
        <v>1</v>
      </c>
      <c r="HZ2" s="96">
        <v>1</v>
      </c>
      <c r="IA2" s="96">
        <v>1</v>
      </c>
      <c r="IB2" s="96">
        <v>1</v>
      </c>
      <c r="IC2" s="96">
        <v>1</v>
      </c>
      <c r="ID2" s="96">
        <v>1</v>
      </c>
      <c r="IE2" s="96">
        <v>1</v>
      </c>
      <c r="IF2" s="96">
        <v>1</v>
      </c>
      <c r="IG2" s="96">
        <v>1</v>
      </c>
      <c r="IH2" s="96">
        <v>1</v>
      </c>
      <c r="II2" s="96">
        <v>1</v>
      </c>
      <c r="IJ2" s="96">
        <v>1</v>
      </c>
      <c r="IK2" s="96">
        <v>1</v>
      </c>
      <c r="IL2" s="96">
        <v>1</v>
      </c>
      <c r="IM2" s="96">
        <v>1</v>
      </c>
      <c r="IN2" s="96">
        <v>1</v>
      </c>
      <c r="IO2" s="96">
        <v>1</v>
      </c>
      <c r="IP2" s="96">
        <v>1</v>
      </c>
      <c r="IQ2" s="96">
        <v>1</v>
      </c>
      <c r="IR2" s="96">
        <v>1</v>
      </c>
      <c r="IS2" s="96">
        <v>1</v>
      </c>
      <c r="IT2" s="96">
        <v>1</v>
      </c>
      <c r="IU2" s="96">
        <v>1</v>
      </c>
      <c r="IV2" s="96">
        <v>1</v>
      </c>
      <c r="IW2" s="96">
        <v>1</v>
      </c>
      <c r="IX2" s="96">
        <v>1</v>
      </c>
      <c r="IY2" s="96">
        <v>1</v>
      </c>
      <c r="IZ2" s="96">
        <v>1</v>
      </c>
      <c r="JA2" s="96">
        <v>1</v>
      </c>
      <c r="JB2" s="96">
        <v>1</v>
      </c>
      <c r="JC2" s="96">
        <v>1</v>
      </c>
      <c r="JD2" s="96">
        <v>1</v>
      </c>
      <c r="JE2" s="96">
        <v>1</v>
      </c>
      <c r="JF2" s="96">
        <v>1</v>
      </c>
      <c r="JG2" s="96">
        <v>1</v>
      </c>
      <c r="JH2" s="96">
        <v>1</v>
      </c>
      <c r="JI2" s="96">
        <v>1</v>
      </c>
      <c r="JJ2" s="96">
        <v>1</v>
      </c>
      <c r="JK2" s="96">
        <v>1</v>
      </c>
      <c r="JL2" s="96">
        <v>1</v>
      </c>
      <c r="JM2" s="96">
        <v>1</v>
      </c>
      <c r="JN2" s="96">
        <v>1</v>
      </c>
      <c r="JO2" s="96">
        <v>1</v>
      </c>
      <c r="JP2" s="96">
        <v>1</v>
      </c>
      <c r="JQ2" s="96">
        <v>1</v>
      </c>
      <c r="JR2" s="96">
        <v>1</v>
      </c>
      <c r="JS2" s="96">
        <v>1</v>
      </c>
      <c r="JT2" s="96">
        <v>1</v>
      </c>
      <c r="JU2" s="96">
        <v>1</v>
      </c>
      <c r="JV2" s="96">
        <v>1</v>
      </c>
      <c r="JW2" s="96">
        <v>1</v>
      </c>
      <c r="JX2" s="96">
        <v>1</v>
      </c>
      <c r="JY2" s="96">
        <v>1</v>
      </c>
      <c r="JZ2" s="96">
        <v>1</v>
      </c>
      <c r="KA2" s="96">
        <v>1</v>
      </c>
      <c r="KB2" s="96">
        <v>1</v>
      </c>
      <c r="KC2" s="96">
        <v>1</v>
      </c>
      <c r="KD2" s="96">
        <v>1</v>
      </c>
      <c r="KE2" s="96">
        <v>1</v>
      </c>
      <c r="KF2" s="96">
        <v>1</v>
      </c>
      <c r="KG2" s="96">
        <v>1</v>
      </c>
      <c r="KH2" s="96">
        <v>1</v>
      </c>
      <c r="KI2" s="96">
        <v>1</v>
      </c>
      <c r="KJ2" s="96">
        <v>1</v>
      </c>
      <c r="KK2" s="96">
        <v>1</v>
      </c>
      <c r="KL2" s="96">
        <v>1</v>
      </c>
      <c r="KM2" s="96">
        <v>1</v>
      </c>
      <c r="KN2" s="96">
        <v>1</v>
      </c>
      <c r="KO2" s="96">
        <v>1</v>
      </c>
      <c r="KP2" s="96">
        <v>1</v>
      </c>
      <c r="ABD2" s="105">
        <v>0.23</v>
      </c>
      <c r="ABE2" s="105">
        <v>0.1</v>
      </c>
      <c r="ABF2" s="105">
        <v>0.1</v>
      </c>
      <c r="ABG2" s="105">
        <v>0.15</v>
      </c>
      <c r="ABH2" s="105">
        <v>0.1</v>
      </c>
      <c r="ABI2" s="105">
        <v>0.1</v>
      </c>
      <c r="ABJ2" s="105">
        <v>0.1</v>
      </c>
      <c r="XFB2" s="106" t="s">
        <v>144</v>
      </c>
      <c r="XFC2" s="106">
        <v>1</v>
      </c>
      <c r="XFD2" s="106">
        <v>1</v>
      </c>
    </row>
    <row r="3" spans="1:743 16382:16384">
      <c r="A3" s="96" t="s">
        <v>425</v>
      </c>
      <c r="B3" s="96" t="s">
        <v>378</v>
      </c>
      <c r="C3" s="97">
        <v>45568.30341</v>
      </c>
      <c r="D3" s="96">
        <v>3</v>
      </c>
      <c r="E3" s="96">
        <v>6</v>
      </c>
      <c r="F3" s="96">
        <v>5</v>
      </c>
      <c r="G3" s="96">
        <v>18</v>
      </c>
      <c r="H3" s="102">
        <v>0.59</v>
      </c>
      <c r="I3" s="102">
        <v>0.59</v>
      </c>
      <c r="J3" s="102">
        <v>0.59</v>
      </c>
      <c r="K3" s="102">
        <v>0.59</v>
      </c>
      <c r="L3" s="102">
        <v>0.64</v>
      </c>
      <c r="T3" s="102">
        <v>0.49</v>
      </c>
      <c r="U3" s="102">
        <v>0.49</v>
      </c>
      <c r="V3" s="102">
        <v>0.49</v>
      </c>
      <c r="W3" s="102">
        <v>0.49</v>
      </c>
      <c r="X3" s="102">
        <v>0.54</v>
      </c>
      <c r="AF3" s="96" t="s">
        <v>381</v>
      </c>
      <c r="AG3" s="96" t="s">
        <v>382</v>
      </c>
      <c r="AH3" s="96" t="s">
        <v>384</v>
      </c>
      <c r="AI3" s="96" t="s">
        <v>383</v>
      </c>
      <c r="AJ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191</v>
      </c>
      <c r="BN3" s="104" t="s">
        <v>192</v>
      </c>
      <c r="BO3" s="104" t="s">
        <v>193</v>
      </c>
      <c r="BP3" s="104"/>
      <c r="BQ3" s="107" t="s">
        <v>486</v>
      </c>
      <c r="XFB3" s="105" t="s">
        <v>157</v>
      </c>
    </row>
    <row r="4" spans="1:743 16382:16384">
      <c r="A4" s="96" t="s">
        <v>426</v>
      </c>
      <c r="B4" s="96" t="s">
        <v>378</v>
      </c>
      <c r="C4" s="97">
        <v>45522.401729999998</v>
      </c>
      <c r="D4" s="96">
        <v>1</v>
      </c>
      <c r="E4" s="96">
        <v>16</v>
      </c>
      <c r="F4" s="96">
        <v>7</v>
      </c>
      <c r="G4" s="96">
        <v>16</v>
      </c>
      <c r="H4" s="102">
        <v>0.71</v>
      </c>
      <c r="I4" s="102">
        <v>0.42</v>
      </c>
      <c r="J4" s="102">
        <v>0.42</v>
      </c>
      <c r="K4" s="102">
        <v>0.46</v>
      </c>
      <c r="L4" s="102">
        <v>0.46</v>
      </c>
      <c r="M4" s="102">
        <v>0.71</v>
      </c>
      <c r="N4" s="102">
        <v>0.71</v>
      </c>
      <c r="T4" s="102">
        <v>0.65</v>
      </c>
      <c r="U4" s="102">
        <v>0.36</v>
      </c>
      <c r="V4" s="102">
        <v>0.36</v>
      </c>
      <c r="W4" s="102">
        <v>0.4</v>
      </c>
      <c r="X4" s="102">
        <v>0.4</v>
      </c>
      <c r="Y4" s="102">
        <v>0.65</v>
      </c>
      <c r="Z4" s="102">
        <v>0.65</v>
      </c>
      <c r="AF4" s="96" t="s">
        <v>387</v>
      </c>
      <c r="AG4" s="96" t="s">
        <v>381</v>
      </c>
      <c r="AH4" s="96" t="s">
        <v>383</v>
      </c>
      <c r="AI4" s="96" t="s">
        <v>382</v>
      </c>
      <c r="AJ4" s="96" t="s">
        <v>384</v>
      </c>
      <c r="AK4" s="96" t="s">
        <v>388</v>
      </c>
      <c r="AL4" s="96" t="s">
        <v>427</v>
      </c>
      <c r="AR4" s="96">
        <v>0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194</v>
      </c>
      <c r="BN4" s="104" t="s">
        <v>195</v>
      </c>
      <c r="BO4" s="104" t="s">
        <v>193</v>
      </c>
      <c r="BP4" s="104"/>
      <c r="BQ4" s="96" t="s">
        <v>154</v>
      </c>
      <c r="XFB4" s="106"/>
      <c r="XFC4" s="106"/>
      <c r="XFD4" s="106"/>
    </row>
    <row r="5" spans="1:743 16382:16384">
      <c r="A5" s="96" t="s">
        <v>416</v>
      </c>
      <c r="B5" s="96" t="s">
        <v>397</v>
      </c>
      <c r="C5" s="97">
        <v>45517.842239999998</v>
      </c>
      <c r="D5" s="96">
        <v>3</v>
      </c>
      <c r="E5" s="96">
        <v>10</v>
      </c>
      <c r="F5" s="96">
        <v>4</v>
      </c>
      <c r="G5" s="96">
        <v>30</v>
      </c>
      <c r="H5" s="102">
        <v>1</v>
      </c>
      <c r="I5" s="102">
        <v>1</v>
      </c>
      <c r="J5" s="102">
        <v>1</v>
      </c>
      <c r="K5" s="102">
        <v>1</v>
      </c>
      <c r="T5" s="102">
        <v>0.5</v>
      </c>
      <c r="U5" s="102">
        <v>0.5</v>
      </c>
      <c r="V5" s="102">
        <v>0.5</v>
      </c>
      <c r="W5" s="102">
        <v>0.8</v>
      </c>
      <c r="AF5" s="96" t="s">
        <v>389</v>
      </c>
      <c r="AG5" s="96" t="s">
        <v>390</v>
      </c>
      <c r="AH5" s="96" t="s">
        <v>379</v>
      </c>
      <c r="AI5" s="96" t="s">
        <v>415</v>
      </c>
      <c r="AR5" s="96">
        <v>-0.1</v>
      </c>
      <c r="AS5" s="96">
        <v>-0.1</v>
      </c>
      <c r="AT5" s="96">
        <v>-0.1</v>
      </c>
      <c r="AU5" s="96">
        <v>-0.1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196</v>
      </c>
      <c r="BN5" s="96" t="s">
        <v>197</v>
      </c>
      <c r="BO5" s="96" t="s">
        <v>193</v>
      </c>
    </row>
    <row r="6" spans="1:743 16382:16384">
      <c r="A6" s="96" t="s">
        <v>428</v>
      </c>
      <c r="B6" s="96" t="s">
        <v>378</v>
      </c>
      <c r="C6" s="97">
        <v>45539.911569999997</v>
      </c>
      <c r="D6" s="96">
        <v>1</v>
      </c>
      <c r="E6" s="96">
        <v>20</v>
      </c>
      <c r="F6" s="96">
        <v>4</v>
      </c>
      <c r="G6" s="96">
        <v>20</v>
      </c>
      <c r="H6" s="102">
        <v>0.74</v>
      </c>
      <c r="I6" s="102">
        <v>0.43</v>
      </c>
      <c r="J6" s="102">
        <v>0.43</v>
      </c>
      <c r="K6" s="102">
        <v>0.48</v>
      </c>
      <c r="T6" s="102">
        <v>0.66</v>
      </c>
      <c r="U6" s="102">
        <v>0.35</v>
      </c>
      <c r="V6" s="102">
        <v>0.35</v>
      </c>
      <c r="W6" s="102">
        <v>0.4</v>
      </c>
      <c r="AF6" s="96" t="s">
        <v>379</v>
      </c>
      <c r="AG6" s="96" t="s">
        <v>381</v>
      </c>
      <c r="AH6" s="96" t="s">
        <v>383</v>
      </c>
      <c r="AI6" s="96" t="s">
        <v>389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198</v>
      </c>
      <c r="BN6" s="96" t="s">
        <v>199</v>
      </c>
      <c r="BO6" s="96" t="s">
        <v>193</v>
      </c>
    </row>
    <row r="7" spans="1:743 16382:16384">
      <c r="A7" s="96" t="s">
        <v>429</v>
      </c>
      <c r="B7" s="96" t="s">
        <v>378</v>
      </c>
      <c r="C7" s="97">
        <v>45526.783660000001</v>
      </c>
      <c r="D7" s="96">
        <v>1</v>
      </c>
      <c r="E7" s="96">
        <v>22</v>
      </c>
      <c r="F7" s="96">
        <v>5</v>
      </c>
      <c r="G7" s="96">
        <v>22</v>
      </c>
      <c r="H7" s="102">
        <v>0.64</v>
      </c>
      <c r="I7" s="102">
        <v>0.52</v>
      </c>
      <c r="J7" s="102">
        <v>0.52</v>
      </c>
      <c r="K7" s="102">
        <v>0.52</v>
      </c>
      <c r="L7" s="102">
        <v>0.52</v>
      </c>
      <c r="T7" s="102">
        <v>0.54</v>
      </c>
      <c r="U7" s="102">
        <v>0.42</v>
      </c>
      <c r="V7" s="102">
        <v>0.42</v>
      </c>
      <c r="W7" s="102">
        <v>0.42</v>
      </c>
      <c r="X7" s="102">
        <v>0.42</v>
      </c>
      <c r="AF7" s="96" t="s">
        <v>379</v>
      </c>
      <c r="AG7" s="96" t="s">
        <v>383</v>
      </c>
      <c r="AH7" s="96" t="s">
        <v>384</v>
      </c>
      <c r="AI7" s="96" t="s">
        <v>382</v>
      </c>
      <c r="AJ7" s="96" t="s">
        <v>381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210</v>
      </c>
      <c r="BN7" s="96" t="s">
        <v>211</v>
      </c>
      <c r="BO7" s="96" t="s">
        <v>193</v>
      </c>
    </row>
    <row r="8" spans="1:743 16382:16384">
      <c r="A8" s="96" t="s">
        <v>430</v>
      </c>
      <c r="B8" s="96" t="s">
        <v>378</v>
      </c>
      <c r="C8" s="97">
        <v>45460.933969999998</v>
      </c>
      <c r="D8" s="96">
        <v>1</v>
      </c>
      <c r="E8" s="96">
        <v>10</v>
      </c>
      <c r="F8" s="96">
        <v>5</v>
      </c>
      <c r="G8" s="96">
        <v>10</v>
      </c>
      <c r="H8" s="102">
        <v>0.68</v>
      </c>
      <c r="I8" s="102">
        <v>0.42</v>
      </c>
      <c r="J8" s="102">
        <v>0.42</v>
      </c>
      <c r="K8" s="102">
        <v>0.74</v>
      </c>
      <c r="L8" s="102">
        <v>0.74</v>
      </c>
      <c r="T8" s="102">
        <v>0.6</v>
      </c>
      <c r="U8" s="102">
        <v>0.34</v>
      </c>
      <c r="V8" s="102">
        <v>0.34</v>
      </c>
      <c r="W8" s="102">
        <v>0.66</v>
      </c>
      <c r="X8" s="102">
        <v>0.66</v>
      </c>
      <c r="AF8" s="96" t="s">
        <v>379</v>
      </c>
      <c r="AG8" s="96" t="s">
        <v>383</v>
      </c>
      <c r="AH8" s="96" t="s">
        <v>381</v>
      </c>
      <c r="AI8" s="96" t="s">
        <v>382</v>
      </c>
      <c r="AJ8" s="96" t="s">
        <v>384</v>
      </c>
      <c r="AR8" s="96">
        <v>0</v>
      </c>
      <c r="AS8" s="96">
        <v>0</v>
      </c>
      <c r="AT8" s="96">
        <v>0</v>
      </c>
      <c r="AU8" s="96">
        <v>0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200</v>
      </c>
      <c r="BN8" s="96" t="s">
        <v>201</v>
      </c>
      <c r="BO8" s="96" t="s">
        <v>193</v>
      </c>
    </row>
    <row r="9" spans="1:743 16382:16384">
      <c r="A9" s="96" t="s">
        <v>431</v>
      </c>
      <c r="B9" s="96" t="s">
        <v>378</v>
      </c>
      <c r="C9" s="97">
        <v>45551.674290000003</v>
      </c>
      <c r="D9" s="96">
        <v>1</v>
      </c>
      <c r="E9" s="96">
        <v>10</v>
      </c>
      <c r="F9" s="96">
        <v>1</v>
      </c>
      <c r="G9" s="96">
        <v>10</v>
      </c>
      <c r="H9" s="102">
        <v>0.68</v>
      </c>
      <c r="T9" s="102">
        <v>0.6</v>
      </c>
      <c r="AF9" s="96" t="s">
        <v>379</v>
      </c>
      <c r="AR9" s="96">
        <v>0.18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202</v>
      </c>
      <c r="BN9" s="96" t="s">
        <v>203</v>
      </c>
      <c r="BO9" s="96" t="s">
        <v>193</v>
      </c>
    </row>
    <row r="10" spans="1:743 16382:16384">
      <c r="A10" s="96" t="s">
        <v>432</v>
      </c>
      <c r="B10" s="96" t="s">
        <v>378</v>
      </c>
      <c r="C10" s="97">
        <v>45539.599620000001</v>
      </c>
      <c r="D10" s="96">
        <v>1</v>
      </c>
      <c r="E10" s="96">
        <v>12</v>
      </c>
      <c r="F10" s="96">
        <v>4</v>
      </c>
      <c r="G10" s="96">
        <v>12</v>
      </c>
      <c r="H10" s="102">
        <v>0.8</v>
      </c>
      <c r="I10" s="102">
        <v>0.52</v>
      </c>
      <c r="J10" s="102">
        <v>0.63</v>
      </c>
      <c r="K10" s="102">
        <v>0.63</v>
      </c>
      <c r="T10" s="102">
        <v>0.71</v>
      </c>
      <c r="U10" s="102">
        <v>0.44</v>
      </c>
      <c r="V10" s="102">
        <v>0.55000000000000004</v>
      </c>
      <c r="W10" s="102">
        <v>0.55000000000000004</v>
      </c>
      <c r="AF10" s="96" t="s">
        <v>379</v>
      </c>
      <c r="AG10" s="96" t="s">
        <v>390</v>
      </c>
      <c r="AH10" s="96" t="s">
        <v>382</v>
      </c>
      <c r="AI10" s="96" t="s">
        <v>384</v>
      </c>
      <c r="AR10" s="96">
        <v>0.2</v>
      </c>
      <c r="AS10" s="96">
        <v>0.2</v>
      </c>
      <c r="AT10" s="96">
        <v>0.22</v>
      </c>
      <c r="AU10" s="96">
        <v>0.22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204</v>
      </c>
      <c r="BN10" s="96" t="s">
        <v>205</v>
      </c>
      <c r="BO10" s="96" t="s">
        <v>193</v>
      </c>
    </row>
    <row r="11" spans="1:743 16382:16384">
      <c r="A11" s="96" t="s">
        <v>433</v>
      </c>
      <c r="B11" s="96" t="s">
        <v>378</v>
      </c>
      <c r="C11" s="97">
        <v>45548.945059999998</v>
      </c>
      <c r="D11" s="96">
        <v>2</v>
      </c>
      <c r="E11" s="96">
        <v>10</v>
      </c>
      <c r="F11" s="96">
        <v>3</v>
      </c>
      <c r="G11" s="96">
        <v>20</v>
      </c>
      <c r="H11" s="102">
        <v>0.47</v>
      </c>
      <c r="I11" s="102">
        <v>0.54</v>
      </c>
      <c r="J11" s="102">
        <v>0.54</v>
      </c>
      <c r="T11" s="102">
        <v>0.41</v>
      </c>
      <c r="U11" s="102">
        <v>0.48</v>
      </c>
      <c r="V11" s="102">
        <v>0.48</v>
      </c>
      <c r="AF11" s="96" t="s">
        <v>379</v>
      </c>
      <c r="AG11" s="96" t="s">
        <v>389</v>
      </c>
      <c r="AH11" s="96" t="s">
        <v>390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206</v>
      </c>
      <c r="BN11" s="96" t="s">
        <v>207</v>
      </c>
      <c r="BO11" s="96" t="s">
        <v>193</v>
      </c>
    </row>
    <row r="12" spans="1:743 16382:16384">
      <c r="A12" s="96" t="s">
        <v>434</v>
      </c>
      <c r="B12" s="96" t="s">
        <v>378</v>
      </c>
      <c r="C12" s="97">
        <v>45551.888679999996</v>
      </c>
      <c r="D12" s="96">
        <v>4</v>
      </c>
      <c r="E12" s="96">
        <v>12</v>
      </c>
      <c r="F12" s="96">
        <v>3</v>
      </c>
      <c r="G12" s="96">
        <v>48</v>
      </c>
      <c r="H12" s="102">
        <v>0.44500000000000001</v>
      </c>
      <c r="I12" s="102">
        <v>0.58499999999999996</v>
      </c>
      <c r="J12" s="102">
        <v>0.58499999999999996</v>
      </c>
      <c r="T12" s="102">
        <v>0.35499999999999998</v>
      </c>
      <c r="U12" s="102">
        <v>0.495</v>
      </c>
      <c r="V12" s="102">
        <v>0.495</v>
      </c>
      <c r="AF12" s="96" t="s">
        <v>379</v>
      </c>
      <c r="AG12" s="96" t="s">
        <v>389</v>
      </c>
      <c r="AH12" s="96" t="s">
        <v>390</v>
      </c>
      <c r="AR12" s="96">
        <v>0.22</v>
      </c>
      <c r="AS12" s="96">
        <v>0.16</v>
      </c>
      <c r="AT12" s="96">
        <v>0.16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208</v>
      </c>
      <c r="BN12" s="96" t="s">
        <v>209</v>
      </c>
      <c r="BO12" s="96" t="s">
        <v>193</v>
      </c>
    </row>
    <row r="13" spans="1:743 16382:16384">
      <c r="A13" s="96" t="s">
        <v>435</v>
      </c>
      <c r="B13" s="96" t="s">
        <v>378</v>
      </c>
      <c r="C13" s="97">
        <v>45558.171679999999</v>
      </c>
      <c r="D13" s="96">
        <v>1</v>
      </c>
      <c r="E13" s="96">
        <v>18</v>
      </c>
      <c r="F13" s="96">
        <v>5</v>
      </c>
      <c r="G13" s="96">
        <v>18</v>
      </c>
      <c r="H13" s="102">
        <v>0.63</v>
      </c>
      <c r="I13" s="102">
        <v>0.53</v>
      </c>
      <c r="J13" s="102">
        <v>0.51</v>
      </c>
      <c r="K13" s="102">
        <v>0.51</v>
      </c>
      <c r="L13" s="102">
        <v>0.53</v>
      </c>
      <c r="T13" s="102">
        <v>0.55000000000000004</v>
      </c>
      <c r="U13" s="102">
        <v>0.45</v>
      </c>
      <c r="V13" s="102">
        <v>0.43</v>
      </c>
      <c r="W13" s="102">
        <v>0.43</v>
      </c>
      <c r="X13" s="102">
        <v>0.45</v>
      </c>
      <c r="AF13" s="96" t="s">
        <v>379</v>
      </c>
      <c r="AG13" s="96" t="s">
        <v>381</v>
      </c>
      <c r="AH13" s="96" t="s">
        <v>382</v>
      </c>
      <c r="AI13" s="96" t="s">
        <v>384</v>
      </c>
      <c r="AJ13" s="96" t="s">
        <v>383</v>
      </c>
      <c r="AR13" s="96">
        <v>0</v>
      </c>
      <c r="AS13" s="96">
        <v>0</v>
      </c>
      <c r="AT13" s="96">
        <v>0</v>
      </c>
      <c r="AU13" s="96">
        <v>0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212</v>
      </c>
      <c r="BN13" s="96" t="s">
        <v>213</v>
      </c>
      <c r="BO13" s="104" t="s">
        <v>190</v>
      </c>
    </row>
    <row r="14" spans="1:743 16382:16384">
      <c r="A14" s="96" t="s">
        <v>377</v>
      </c>
      <c r="B14" s="96" t="s">
        <v>378</v>
      </c>
      <c r="C14" s="97">
        <v>45286.481670000001</v>
      </c>
      <c r="D14" s="96">
        <v>3</v>
      </c>
      <c r="E14" s="96">
        <v>5</v>
      </c>
      <c r="F14" s="96">
        <v>1</v>
      </c>
      <c r="G14" s="96">
        <v>15</v>
      </c>
      <c r="H14" s="102">
        <v>0.64</v>
      </c>
      <c r="T14" s="102">
        <v>0.54</v>
      </c>
      <c r="AF14" s="96" t="s">
        <v>379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456</v>
      </c>
      <c r="BN14" s="96" t="s">
        <v>457</v>
      </c>
      <c r="BO14" s="96" t="s">
        <v>193</v>
      </c>
    </row>
    <row r="15" spans="1:743 16382:16384">
      <c r="A15" s="96" t="s">
        <v>380</v>
      </c>
      <c r="B15" s="96" t="s">
        <v>378</v>
      </c>
      <c r="C15" s="97">
        <v>45209.875760000003</v>
      </c>
      <c r="D15" s="96">
        <v>3</v>
      </c>
      <c r="E15" s="96">
        <v>5</v>
      </c>
      <c r="F15" s="96">
        <v>5</v>
      </c>
      <c r="G15" s="96">
        <v>15</v>
      </c>
      <c r="H15" s="102">
        <v>0.59</v>
      </c>
      <c r="I15" s="102">
        <v>0.59</v>
      </c>
      <c r="J15" s="102">
        <v>0.59</v>
      </c>
      <c r="K15" s="102">
        <v>0.59</v>
      </c>
      <c r="L15" s="102">
        <v>0.64</v>
      </c>
      <c r="T15" s="102">
        <v>0.49</v>
      </c>
      <c r="U15" s="102">
        <v>0.49</v>
      </c>
      <c r="V15" s="102">
        <v>0.49</v>
      </c>
      <c r="W15" s="102">
        <v>0.49</v>
      </c>
      <c r="X15" s="102">
        <v>0.54</v>
      </c>
      <c r="AF15" s="96" t="s">
        <v>381</v>
      </c>
      <c r="AG15" s="96" t="s">
        <v>382</v>
      </c>
      <c r="AH15" s="96" t="s">
        <v>383</v>
      </c>
      <c r="AI15" s="96" t="s">
        <v>384</v>
      </c>
      <c r="AJ15" s="96" t="s">
        <v>379</v>
      </c>
      <c r="AR15" s="96">
        <v>0</v>
      </c>
      <c r="AS15" s="96">
        <v>0</v>
      </c>
      <c r="AT15" s="96">
        <v>0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743 16382:16384">
      <c r="A16" s="96" t="s">
        <v>385</v>
      </c>
      <c r="B16" s="96" t="s">
        <v>378</v>
      </c>
      <c r="C16" s="97">
        <v>45224.846769999996</v>
      </c>
      <c r="D16" s="96">
        <v>1</v>
      </c>
      <c r="E16" s="96">
        <v>10</v>
      </c>
      <c r="F16" s="96">
        <v>5</v>
      </c>
      <c r="G16" s="96">
        <v>10</v>
      </c>
      <c r="H16" s="102">
        <v>0.53</v>
      </c>
      <c r="I16" s="102">
        <v>0.78</v>
      </c>
      <c r="J16" s="102">
        <v>0.78</v>
      </c>
      <c r="K16" s="102">
        <v>0.78</v>
      </c>
      <c r="L16" s="102">
        <v>0.78</v>
      </c>
      <c r="T16" s="102">
        <v>0.47</v>
      </c>
      <c r="U16" s="102">
        <v>0.69</v>
      </c>
      <c r="V16" s="102">
        <v>0.69</v>
      </c>
      <c r="W16" s="102">
        <v>0.69</v>
      </c>
      <c r="X16" s="102">
        <v>0.69</v>
      </c>
      <c r="AF16" s="96" t="s">
        <v>379</v>
      </c>
      <c r="AG16" s="96" t="s">
        <v>382</v>
      </c>
      <c r="AH16" s="96" t="s">
        <v>384</v>
      </c>
      <c r="AI16" s="96" t="s">
        <v>381</v>
      </c>
      <c r="AJ16" s="96" t="s">
        <v>383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386</v>
      </c>
      <c r="B17" s="96" t="s">
        <v>378</v>
      </c>
      <c r="C17" s="97">
        <v>45218.344469999996</v>
      </c>
      <c r="D17" s="96">
        <v>2</v>
      </c>
      <c r="E17" s="96">
        <v>10</v>
      </c>
      <c r="F17" s="96">
        <v>6</v>
      </c>
      <c r="G17" s="96">
        <v>20</v>
      </c>
      <c r="H17" s="102">
        <v>0.44</v>
      </c>
      <c r="I17" s="102">
        <v>0.44</v>
      </c>
      <c r="J17" s="102">
        <v>0.5</v>
      </c>
      <c r="K17" s="102">
        <v>0.5</v>
      </c>
      <c r="L17" s="102">
        <v>0.5</v>
      </c>
      <c r="M17" s="102">
        <v>0.5</v>
      </c>
      <c r="T17" s="102">
        <v>0.38</v>
      </c>
      <c r="U17" s="102">
        <v>0.38</v>
      </c>
      <c r="V17" s="102">
        <v>0.44</v>
      </c>
      <c r="W17" s="102">
        <v>0.44</v>
      </c>
      <c r="X17" s="102">
        <v>0.44</v>
      </c>
      <c r="Y17" s="102">
        <v>0.44</v>
      </c>
      <c r="AF17" s="96" t="s">
        <v>387</v>
      </c>
      <c r="AG17" s="96" t="s">
        <v>388</v>
      </c>
      <c r="AH17" s="96" t="s">
        <v>382</v>
      </c>
      <c r="AI17" s="96" t="s">
        <v>384</v>
      </c>
      <c r="AJ17" s="96" t="s">
        <v>381</v>
      </c>
      <c r="AK17" s="96" t="s">
        <v>383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391</v>
      </c>
      <c r="B18" s="96" t="s">
        <v>378</v>
      </c>
      <c r="C18" s="97">
        <v>45203.087189999998</v>
      </c>
      <c r="D18" s="96">
        <v>2</v>
      </c>
      <c r="E18" s="96">
        <v>9</v>
      </c>
      <c r="F18" s="96">
        <v>2</v>
      </c>
      <c r="G18" s="96">
        <v>18</v>
      </c>
      <c r="H18" s="102">
        <v>0.36</v>
      </c>
      <c r="I18" s="102">
        <v>0.36</v>
      </c>
      <c r="T18" s="102">
        <v>0.28999999999999998</v>
      </c>
      <c r="U18" s="102">
        <v>0.28999999999999998</v>
      </c>
      <c r="AF18" s="96" t="s">
        <v>389</v>
      </c>
      <c r="AG18" s="96" t="s">
        <v>390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392</v>
      </c>
      <c r="B19" s="96" t="s">
        <v>378</v>
      </c>
      <c r="C19" s="97">
        <v>45224.978519999997</v>
      </c>
      <c r="D19" s="96">
        <v>12</v>
      </c>
      <c r="E19" s="96">
        <v>2</v>
      </c>
      <c r="F19" s="96">
        <v>4</v>
      </c>
      <c r="G19" s="96">
        <v>24</v>
      </c>
      <c r="H19" s="102">
        <v>1.28</v>
      </c>
      <c r="I19" s="102">
        <v>1.28</v>
      </c>
      <c r="J19" s="102">
        <v>1.28</v>
      </c>
      <c r="K19" s="102">
        <v>1.28</v>
      </c>
      <c r="T19" s="102">
        <v>1.18</v>
      </c>
      <c r="U19" s="102">
        <v>1.18</v>
      </c>
      <c r="V19" s="102">
        <v>1.18</v>
      </c>
      <c r="W19" s="102">
        <v>1.18</v>
      </c>
      <c r="AF19" s="96" t="s">
        <v>393</v>
      </c>
      <c r="AG19" s="96" t="s">
        <v>394</v>
      </c>
      <c r="AH19" s="96" t="s">
        <v>393</v>
      </c>
      <c r="AI19" s="96" t="s">
        <v>395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396</v>
      </c>
      <c r="B20" s="96" t="s">
        <v>378</v>
      </c>
      <c r="C20" s="97">
        <v>45211.922039999998</v>
      </c>
      <c r="D20" s="96">
        <v>2</v>
      </c>
      <c r="E20" s="96">
        <v>10</v>
      </c>
      <c r="F20" s="96">
        <v>1</v>
      </c>
      <c r="G20" s="96">
        <v>20</v>
      </c>
      <c r="H20" s="102">
        <v>0.44</v>
      </c>
      <c r="T20" s="102">
        <v>0.38</v>
      </c>
      <c r="AF20" s="96" t="s">
        <v>379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436</v>
      </c>
      <c r="B21" s="96" t="s">
        <v>378</v>
      </c>
      <c r="C21" s="97">
        <v>45538.870690000003</v>
      </c>
      <c r="D21" s="96">
        <v>1</v>
      </c>
      <c r="E21" s="96">
        <v>16</v>
      </c>
      <c r="F21" s="96">
        <v>7</v>
      </c>
      <c r="G21" s="96">
        <v>16</v>
      </c>
      <c r="H21" s="102">
        <v>0.71</v>
      </c>
      <c r="I21" s="102">
        <v>0.42</v>
      </c>
      <c r="J21" s="102">
        <v>0.42</v>
      </c>
      <c r="K21" s="102">
        <v>0.46</v>
      </c>
      <c r="L21" s="102">
        <v>0.46</v>
      </c>
      <c r="M21" s="102">
        <v>0.71</v>
      </c>
      <c r="N21" s="102">
        <v>0.71</v>
      </c>
      <c r="T21" s="102">
        <v>0.65</v>
      </c>
      <c r="U21" s="102">
        <v>0.36</v>
      </c>
      <c r="V21" s="102">
        <v>0.36</v>
      </c>
      <c r="W21" s="102">
        <v>0.4</v>
      </c>
      <c r="X21" s="102">
        <v>0.4</v>
      </c>
      <c r="Y21" s="102">
        <v>0.65</v>
      </c>
      <c r="Z21" s="102">
        <v>0.65</v>
      </c>
      <c r="AF21" s="96" t="s">
        <v>387</v>
      </c>
      <c r="AG21" s="96" t="s">
        <v>381</v>
      </c>
      <c r="AH21" s="96" t="s">
        <v>383</v>
      </c>
      <c r="AI21" s="96" t="s">
        <v>382</v>
      </c>
      <c r="AJ21" s="96" t="s">
        <v>384</v>
      </c>
      <c r="AK21" s="96" t="s">
        <v>388</v>
      </c>
      <c r="AL21" s="96" t="s">
        <v>427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437</v>
      </c>
      <c r="B22" s="96" t="s">
        <v>378</v>
      </c>
      <c r="C22" s="97">
        <v>45548.996379999997</v>
      </c>
      <c r="D22" s="96">
        <v>2</v>
      </c>
      <c r="E22" s="96">
        <v>10</v>
      </c>
      <c r="F22" s="96">
        <v>1</v>
      </c>
      <c r="G22" s="96">
        <v>20</v>
      </c>
      <c r="H22" s="102">
        <v>0.47</v>
      </c>
      <c r="T22" s="102">
        <v>0.41</v>
      </c>
      <c r="AF22" s="96" t="s">
        <v>379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438</v>
      </c>
      <c r="B23" s="96" t="s">
        <v>378</v>
      </c>
      <c r="C23" s="97">
        <v>45546.187639999996</v>
      </c>
      <c r="D23" s="96">
        <v>2</v>
      </c>
      <c r="E23" s="96">
        <v>10</v>
      </c>
      <c r="F23" s="96">
        <v>5</v>
      </c>
      <c r="G23" s="96">
        <v>20</v>
      </c>
      <c r="H23" s="102">
        <v>0.45</v>
      </c>
      <c r="I23" s="102">
        <v>0.53</v>
      </c>
      <c r="J23" s="102">
        <v>0.53</v>
      </c>
      <c r="K23" s="102">
        <v>0.53</v>
      </c>
      <c r="L23" s="102">
        <v>0.53</v>
      </c>
      <c r="T23" s="102">
        <v>0.39</v>
      </c>
      <c r="U23" s="102">
        <v>0.4</v>
      </c>
      <c r="V23" s="102">
        <v>0.4</v>
      </c>
      <c r="W23" s="102">
        <v>0.4</v>
      </c>
      <c r="X23" s="102">
        <v>0.4</v>
      </c>
      <c r="AF23" s="96" t="s">
        <v>379</v>
      </c>
      <c r="AG23" s="96" t="s">
        <v>382</v>
      </c>
      <c r="AH23" s="96" t="s">
        <v>384</v>
      </c>
      <c r="AI23" s="96" t="s">
        <v>381</v>
      </c>
      <c r="AJ23" s="96" t="s">
        <v>383</v>
      </c>
      <c r="AR23" s="96">
        <v>-0.01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439</v>
      </c>
      <c r="B24" s="96" t="s">
        <v>378</v>
      </c>
      <c r="C24" s="97">
        <v>45542.395819999998</v>
      </c>
      <c r="D24" s="96">
        <v>4</v>
      </c>
      <c r="E24" s="96">
        <v>12</v>
      </c>
      <c r="F24" s="96">
        <v>3</v>
      </c>
      <c r="G24" s="96">
        <v>48</v>
      </c>
      <c r="H24" s="102">
        <v>0.39</v>
      </c>
      <c r="I24" s="102">
        <v>0.62</v>
      </c>
      <c r="J24" s="102">
        <v>0.62</v>
      </c>
      <c r="T24" s="102">
        <v>0.33</v>
      </c>
      <c r="U24" s="102">
        <v>0.56000000000000005</v>
      </c>
      <c r="V24" s="102">
        <v>0.56000000000000005</v>
      </c>
      <c r="AF24" s="96" t="s">
        <v>379</v>
      </c>
      <c r="AG24" s="96" t="s">
        <v>389</v>
      </c>
      <c r="AH24" s="96" t="s">
        <v>390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440</v>
      </c>
      <c r="B25" s="96" t="s">
        <v>378</v>
      </c>
      <c r="C25" s="97">
        <v>45469.386120000003</v>
      </c>
      <c r="D25" s="96">
        <v>1</v>
      </c>
      <c r="E25" s="96">
        <v>12</v>
      </c>
      <c r="F25" s="96">
        <v>4</v>
      </c>
      <c r="G25" s="96">
        <v>12</v>
      </c>
      <c r="H25" s="102">
        <v>0.52</v>
      </c>
      <c r="I25" s="102">
        <v>0.68</v>
      </c>
      <c r="J25" s="102">
        <v>0.68</v>
      </c>
      <c r="K25" s="102">
        <v>0.81</v>
      </c>
      <c r="T25" s="102">
        <v>0.44</v>
      </c>
      <c r="U25" s="102">
        <v>0.6</v>
      </c>
      <c r="V25" s="102">
        <v>0.6</v>
      </c>
      <c r="W25" s="102">
        <v>0.73</v>
      </c>
      <c r="AF25" s="96" t="s">
        <v>390</v>
      </c>
      <c r="AG25" s="96" t="s">
        <v>384</v>
      </c>
      <c r="AH25" s="96" t="s">
        <v>382</v>
      </c>
      <c r="AI25" s="96" t="s">
        <v>379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441</v>
      </c>
      <c r="B26" s="96" t="s">
        <v>378</v>
      </c>
      <c r="C26" s="97">
        <v>45536.310799999999</v>
      </c>
      <c r="D26" s="96">
        <v>1</v>
      </c>
      <c r="E26" s="96">
        <v>16</v>
      </c>
      <c r="F26" s="96">
        <v>1</v>
      </c>
      <c r="G26" s="96">
        <v>16</v>
      </c>
      <c r="H26" s="102">
        <v>0.71</v>
      </c>
      <c r="T26" s="102">
        <v>0.65</v>
      </c>
      <c r="AF26" s="96" t="s">
        <v>388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442</v>
      </c>
      <c r="B27" s="96" t="s">
        <v>378</v>
      </c>
      <c r="C27" s="97">
        <v>45526.676330000002</v>
      </c>
      <c r="D27" s="96">
        <v>1</v>
      </c>
      <c r="E27" s="96">
        <v>24</v>
      </c>
      <c r="F27" s="96">
        <v>5</v>
      </c>
      <c r="G27" s="96">
        <v>24</v>
      </c>
      <c r="H27" s="102">
        <v>0.62</v>
      </c>
      <c r="I27" s="102">
        <v>0.52</v>
      </c>
      <c r="J27" s="102">
        <v>0.51</v>
      </c>
      <c r="K27" s="102">
        <v>0.52</v>
      </c>
      <c r="L27" s="102">
        <v>0.52</v>
      </c>
      <c r="T27" s="102">
        <v>0.52</v>
      </c>
      <c r="U27" s="102">
        <v>0.42</v>
      </c>
      <c r="V27" s="102">
        <v>0.41</v>
      </c>
      <c r="W27" s="102">
        <v>0.42</v>
      </c>
      <c r="X27" s="102">
        <v>0.42</v>
      </c>
      <c r="AF27" s="96" t="s">
        <v>379</v>
      </c>
      <c r="AG27" s="96" t="s">
        <v>381</v>
      </c>
      <c r="AH27" s="96" t="s">
        <v>382</v>
      </c>
      <c r="AI27" s="96" t="s">
        <v>384</v>
      </c>
      <c r="AJ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443</v>
      </c>
      <c r="B28" s="96" t="s">
        <v>378</v>
      </c>
      <c r="C28" s="97">
        <v>45527.586600000002</v>
      </c>
      <c r="D28" s="96">
        <v>9</v>
      </c>
      <c r="E28" s="96">
        <v>6</v>
      </c>
      <c r="F28" s="96">
        <v>6</v>
      </c>
      <c r="G28" s="96">
        <v>54</v>
      </c>
      <c r="H28" s="102">
        <v>0.47499999999999998</v>
      </c>
      <c r="I28" s="102">
        <v>0.47</v>
      </c>
      <c r="J28" s="102">
        <v>0.61</v>
      </c>
      <c r="K28" s="102">
        <v>0.47499999999999998</v>
      </c>
      <c r="L28" s="102">
        <v>0.47</v>
      </c>
      <c r="M28" s="102">
        <v>0.61</v>
      </c>
      <c r="T28" s="102">
        <v>0.41499999999999998</v>
      </c>
      <c r="U28" s="102">
        <v>0.41</v>
      </c>
      <c r="V28" s="102">
        <v>0.51</v>
      </c>
      <c r="W28" s="102">
        <v>0.41499999999999998</v>
      </c>
      <c r="X28" s="102">
        <v>0.41</v>
      </c>
      <c r="Y28" s="102">
        <v>0.51</v>
      </c>
      <c r="AF28" s="96" t="s">
        <v>384</v>
      </c>
      <c r="AG28" s="96" t="s">
        <v>383</v>
      </c>
      <c r="AH28" s="96" t="s">
        <v>388</v>
      </c>
      <c r="AI28" s="96" t="s">
        <v>382</v>
      </c>
      <c r="AJ28" s="96" t="s">
        <v>381</v>
      </c>
      <c r="AK28" s="96" t="s">
        <v>387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444</v>
      </c>
      <c r="B29" s="96" t="s">
        <v>378</v>
      </c>
      <c r="C29" s="97">
        <v>45449.147989999998</v>
      </c>
      <c r="D29" s="96">
        <v>27</v>
      </c>
      <c r="E29" s="96">
        <v>2</v>
      </c>
      <c r="F29" s="96">
        <v>6</v>
      </c>
      <c r="G29" s="96">
        <v>54</v>
      </c>
      <c r="H29" s="102">
        <v>0.71499999999999997</v>
      </c>
      <c r="I29" s="102">
        <v>0.52</v>
      </c>
      <c r="J29" s="102">
        <v>0.56000000000000005</v>
      </c>
      <c r="K29" s="102">
        <v>0.56000000000000005</v>
      </c>
      <c r="L29" s="102">
        <v>0.52</v>
      </c>
      <c r="M29" s="102">
        <v>0.71499999999999997</v>
      </c>
      <c r="T29" s="102">
        <v>0.66</v>
      </c>
      <c r="U29" s="102">
        <v>0.46</v>
      </c>
      <c r="V29" s="102">
        <v>0.5</v>
      </c>
      <c r="W29" s="102">
        <v>0.5</v>
      </c>
      <c r="X29" s="102">
        <v>0.46</v>
      </c>
      <c r="Y29" s="102">
        <v>0.66</v>
      </c>
      <c r="AF29" s="96" t="s">
        <v>388</v>
      </c>
      <c r="AG29" s="96" t="s">
        <v>383</v>
      </c>
      <c r="AH29" s="96" t="s">
        <v>384</v>
      </c>
      <c r="AI29" s="96" t="s">
        <v>382</v>
      </c>
      <c r="AJ29" s="96" t="s">
        <v>381</v>
      </c>
      <c r="AK29" s="96" t="s">
        <v>387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445</v>
      </c>
      <c r="B30" s="96" t="s">
        <v>378</v>
      </c>
      <c r="C30" s="97">
        <v>45512.753960000002</v>
      </c>
      <c r="D30" s="96">
        <v>12</v>
      </c>
      <c r="E30" s="96">
        <v>3</v>
      </c>
      <c r="F30" s="96">
        <v>5</v>
      </c>
      <c r="G30" s="96">
        <v>36</v>
      </c>
      <c r="H30" s="102">
        <v>0.41</v>
      </c>
      <c r="I30" s="102">
        <v>0.51</v>
      </c>
      <c r="J30" s="102">
        <v>0.51</v>
      </c>
      <c r="K30" s="102">
        <v>0.51</v>
      </c>
      <c r="L30" s="102">
        <v>0.51</v>
      </c>
      <c r="T30" s="102">
        <v>0.35</v>
      </c>
      <c r="U30" s="102">
        <v>0.45</v>
      </c>
      <c r="V30" s="102">
        <v>0.45</v>
      </c>
      <c r="W30" s="102">
        <v>0.45</v>
      </c>
      <c r="X30" s="102">
        <v>0.45</v>
      </c>
      <c r="AF30" s="96" t="s">
        <v>379</v>
      </c>
      <c r="AG30" s="96" t="s">
        <v>384</v>
      </c>
      <c r="AH30" s="96" t="s">
        <v>382</v>
      </c>
      <c r="AI30" s="96" t="s">
        <v>383</v>
      </c>
      <c r="AJ30" s="96" t="s">
        <v>381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446</v>
      </c>
      <c r="B31" s="96" t="s">
        <v>378</v>
      </c>
      <c r="C31" s="97">
        <v>45441.601759999998</v>
      </c>
      <c r="D31" s="96">
        <v>1</v>
      </c>
      <c r="E31" s="96">
        <v>10</v>
      </c>
      <c r="F31" s="96">
        <v>5</v>
      </c>
      <c r="G31" s="96">
        <v>10</v>
      </c>
      <c r="H31" s="102">
        <v>0.49</v>
      </c>
      <c r="I31" s="102">
        <v>0.78</v>
      </c>
      <c r="J31" s="102">
        <v>0.78</v>
      </c>
      <c r="K31" s="102">
        <v>0.78</v>
      </c>
      <c r="L31" s="102">
        <v>0.78</v>
      </c>
      <c r="T31" s="102">
        <v>0.43</v>
      </c>
      <c r="U31" s="102">
        <v>0.69</v>
      </c>
      <c r="V31" s="102">
        <v>0.69</v>
      </c>
      <c r="W31" s="102">
        <v>0.69</v>
      </c>
      <c r="X31" s="102">
        <v>0.69</v>
      </c>
      <c r="AF31" s="96" t="s">
        <v>379</v>
      </c>
      <c r="AG31" s="96" t="s">
        <v>382</v>
      </c>
      <c r="AH31" s="96" t="s">
        <v>384</v>
      </c>
      <c r="AI31" s="96" t="s">
        <v>381</v>
      </c>
      <c r="AJ31" s="96" t="s">
        <v>383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447</v>
      </c>
      <c r="B32" s="96" t="s">
        <v>378</v>
      </c>
      <c r="C32" s="97">
        <v>45462.798239999996</v>
      </c>
      <c r="D32" s="96">
        <v>3</v>
      </c>
      <c r="E32" s="96">
        <v>6</v>
      </c>
      <c r="F32" s="96">
        <v>2</v>
      </c>
      <c r="G32" s="96">
        <v>18</v>
      </c>
      <c r="H32" s="102">
        <v>0.65</v>
      </c>
      <c r="I32" s="102">
        <v>0.65</v>
      </c>
      <c r="T32" s="102">
        <v>0.45</v>
      </c>
      <c r="U32" s="102">
        <v>0.45</v>
      </c>
      <c r="AF32" s="96" t="s">
        <v>394</v>
      </c>
      <c r="AG32" s="96" t="s">
        <v>395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55">
      <c r="A33" s="96" t="s">
        <v>448</v>
      </c>
      <c r="B33" s="96" t="s">
        <v>378</v>
      </c>
      <c r="C33" s="97">
        <v>45467.571210000002</v>
      </c>
      <c r="D33" s="96">
        <v>1</v>
      </c>
      <c r="E33" s="96">
        <v>10</v>
      </c>
      <c r="F33" s="96">
        <v>5</v>
      </c>
      <c r="G33" s="96">
        <v>10</v>
      </c>
      <c r="H33" s="102">
        <v>0.68</v>
      </c>
      <c r="I33" s="102">
        <v>0.42</v>
      </c>
      <c r="J33" s="102">
        <v>0.42</v>
      </c>
      <c r="K33" s="102">
        <v>0.71499999999999997</v>
      </c>
      <c r="L33" s="102">
        <v>0.71499999999999997</v>
      </c>
      <c r="T33" s="102">
        <v>0.6</v>
      </c>
      <c r="U33" s="102">
        <v>0.34</v>
      </c>
      <c r="V33" s="102">
        <v>0.34</v>
      </c>
      <c r="W33" s="102">
        <v>0.63500000000000001</v>
      </c>
      <c r="X33" s="102">
        <v>0.63500000000000001</v>
      </c>
      <c r="AF33" s="96" t="s">
        <v>379</v>
      </c>
      <c r="AG33" s="96" t="s">
        <v>381</v>
      </c>
      <c r="AH33" s="96" t="s">
        <v>383</v>
      </c>
      <c r="AI33" s="96" t="s">
        <v>382</v>
      </c>
      <c r="AJ33" s="96" t="s">
        <v>384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55">
      <c r="A34" s="96" t="s">
        <v>449</v>
      </c>
      <c r="B34" s="96" t="s">
        <v>378</v>
      </c>
      <c r="C34" s="97">
        <v>45461.046190000001</v>
      </c>
      <c r="D34" s="96">
        <v>1</v>
      </c>
      <c r="E34" s="96">
        <v>10</v>
      </c>
      <c r="F34" s="96">
        <v>2</v>
      </c>
      <c r="G34" s="96">
        <v>10</v>
      </c>
      <c r="H34" s="102">
        <v>0.74</v>
      </c>
      <c r="I34" s="102">
        <v>0.74</v>
      </c>
      <c r="T34" s="102">
        <v>0.66</v>
      </c>
      <c r="U34" s="102">
        <v>0.66</v>
      </c>
      <c r="AF34" s="96" t="s">
        <v>382</v>
      </c>
      <c r="AG34" s="96" t="s">
        <v>384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55">
      <c r="A35" s="96" t="s">
        <v>450</v>
      </c>
      <c r="B35" s="96" t="s">
        <v>378</v>
      </c>
      <c r="C35" s="97">
        <v>45378.561520000003</v>
      </c>
      <c r="D35" s="96">
        <v>10</v>
      </c>
      <c r="E35" s="96">
        <v>4</v>
      </c>
      <c r="F35" s="96">
        <v>5</v>
      </c>
      <c r="G35" s="96">
        <v>40</v>
      </c>
      <c r="H35" s="102">
        <v>0.63</v>
      </c>
      <c r="I35" s="102">
        <v>0.5</v>
      </c>
      <c r="J35" s="102">
        <v>0.5</v>
      </c>
      <c r="K35" s="102">
        <v>0.5</v>
      </c>
      <c r="L35" s="102">
        <v>0.5</v>
      </c>
      <c r="T35" s="102">
        <v>0.55000000000000004</v>
      </c>
      <c r="U35" s="102">
        <v>0.42</v>
      </c>
      <c r="V35" s="102">
        <v>0.42</v>
      </c>
      <c r="W35" s="102">
        <v>0.42</v>
      </c>
      <c r="X35" s="102">
        <v>0.42</v>
      </c>
      <c r="AF35" s="96" t="s">
        <v>379</v>
      </c>
      <c r="AG35" s="96" t="s">
        <v>383</v>
      </c>
      <c r="AH35" s="96" t="s">
        <v>384</v>
      </c>
      <c r="AI35" s="96" t="s">
        <v>382</v>
      </c>
      <c r="AJ35" s="96" t="s">
        <v>381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55">
      <c r="A36" s="96" t="s">
        <v>451</v>
      </c>
      <c r="B36" s="96" t="s">
        <v>378</v>
      </c>
      <c r="C36" s="97">
        <v>45458.55616</v>
      </c>
      <c r="D36" s="96">
        <v>1</v>
      </c>
      <c r="E36" s="96">
        <v>10</v>
      </c>
      <c r="F36" s="96">
        <v>4</v>
      </c>
      <c r="G36" s="96">
        <v>10</v>
      </c>
      <c r="H36" s="102">
        <v>0.68</v>
      </c>
      <c r="I36" s="102">
        <v>0.42</v>
      </c>
      <c r="J36" s="102">
        <v>0.71499999999999997</v>
      </c>
      <c r="K36" s="102">
        <v>0.71499999999999997</v>
      </c>
      <c r="T36" s="102">
        <v>0.6</v>
      </c>
      <c r="U36" s="102">
        <v>0.34</v>
      </c>
      <c r="V36" s="102">
        <v>0.63500000000000001</v>
      </c>
      <c r="W36" s="102">
        <v>0.63500000000000001</v>
      </c>
      <c r="AF36" s="96" t="s">
        <v>379</v>
      </c>
      <c r="AG36" s="96" t="s">
        <v>390</v>
      </c>
      <c r="AH36" s="96" t="s">
        <v>382</v>
      </c>
      <c r="AI36" s="96" t="s">
        <v>384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1048575" spans="16383:16383">
      <c r="XFC1048575" s="96" t="s">
        <v>452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39" t="s">
        <v>453</v>
      </c>
      <c r="C2" s="139"/>
      <c r="D2" s="127" t="s">
        <v>51</v>
      </c>
      <c r="E2" s="62" t="s">
        <v>52</v>
      </c>
      <c r="F2" s="62" t="s">
        <v>53</v>
      </c>
      <c r="G2" s="62" t="s">
        <v>54</v>
      </c>
    </row>
    <row r="3" spans="2:7" ht="28.5" customHeight="1">
      <c r="B3" s="139"/>
      <c r="C3" s="139"/>
      <c r="D3" s="127"/>
      <c r="E3" s="62"/>
      <c r="F3" s="62"/>
      <c r="G3" s="62"/>
    </row>
    <row r="4" spans="2:7" ht="28.5" customHeight="1">
      <c r="B4" s="139"/>
      <c r="C4" s="139"/>
      <c r="D4" s="127"/>
      <c r="E4" s="65"/>
      <c r="F4" s="65"/>
      <c r="G4" s="65"/>
    </row>
    <row r="5" spans="2:7" ht="28.5" customHeight="1">
      <c r="B5" s="139" t="s">
        <v>0</v>
      </c>
      <c r="C5" s="139"/>
      <c r="D5" s="28" t="s">
        <v>55</v>
      </c>
      <c r="E5" s="58" t="s">
        <v>221</v>
      </c>
      <c r="F5" s="27" t="s">
        <v>56</v>
      </c>
      <c r="G5" s="27" t="s">
        <v>37</v>
      </c>
    </row>
    <row r="6" spans="2:7" ht="107.25" customHeight="1">
      <c r="B6" s="140" t="s">
        <v>214</v>
      </c>
      <c r="C6" s="141"/>
      <c r="D6" s="64"/>
      <c r="E6" s="64"/>
      <c r="F6" s="64"/>
      <c r="G6" s="64"/>
    </row>
    <row r="7" spans="2:7" ht="28.5" customHeight="1">
      <c r="B7" s="137" t="s">
        <v>215</v>
      </c>
      <c r="C7" s="138"/>
      <c r="D7" s="71" t="s">
        <v>217</v>
      </c>
      <c r="E7" s="71" t="s">
        <v>216</v>
      </c>
      <c r="F7" s="132" t="s">
        <v>218</v>
      </c>
      <c r="G7" s="124" t="s">
        <v>223</v>
      </c>
    </row>
    <row r="8" spans="2:7" ht="21" customHeight="1">
      <c r="B8" s="142" t="s">
        <v>315</v>
      </c>
      <c r="C8" s="143"/>
      <c r="D8" s="76"/>
      <c r="E8" s="76"/>
      <c r="F8" s="132"/>
      <c r="G8" s="125"/>
    </row>
    <row r="9" spans="2:7" ht="21" customHeight="1">
      <c r="B9" s="133" t="s">
        <v>11</v>
      </c>
      <c r="C9" s="134"/>
      <c r="D9" s="69"/>
      <c r="E9" s="69"/>
      <c r="F9" s="132"/>
      <c r="G9" s="125"/>
    </row>
    <row r="10" spans="2:7" ht="21" customHeight="1">
      <c r="B10" s="133" t="s">
        <v>12</v>
      </c>
      <c r="C10" s="134"/>
      <c r="D10" s="70"/>
      <c r="E10" s="70"/>
      <c r="F10" s="132"/>
      <c r="G10" s="125"/>
    </row>
    <row r="11" spans="2:7" ht="21" customHeight="1">
      <c r="B11" s="135" t="s">
        <v>1</v>
      </c>
      <c r="C11" s="136"/>
      <c r="D11" s="68">
        <f>MAX(D19:D20)</f>
        <v>0</v>
      </c>
      <c r="E11" s="68">
        <f>MAX(E19:E20)</f>
        <v>0</v>
      </c>
      <c r="F11" s="132"/>
      <c r="G11" s="125"/>
    </row>
    <row r="12" spans="2:7" ht="21" customHeight="1">
      <c r="B12" s="135" t="s">
        <v>2</v>
      </c>
      <c r="C12" s="136"/>
      <c r="D12" s="68">
        <f>MIN(D19:D20)</f>
        <v>0</v>
      </c>
      <c r="E12" s="68">
        <f>MIN(E19:E20)</f>
        <v>0</v>
      </c>
      <c r="F12" s="132"/>
      <c r="G12" s="125"/>
    </row>
    <row r="13" spans="2:7" ht="21" customHeight="1">
      <c r="B13" s="135" t="s">
        <v>3</v>
      </c>
      <c r="C13" s="136"/>
      <c r="D13" s="68" t="e">
        <f>AVERAGEA(D19:D20)</f>
        <v>#DIV/0!</v>
      </c>
      <c r="E13" s="68" t="e">
        <f>AVERAGEA(E19:E20)</f>
        <v>#DIV/0!</v>
      </c>
      <c r="F13" s="132"/>
      <c r="G13" s="125"/>
    </row>
    <row r="14" spans="2:7" s="59" customFormat="1" ht="21" hidden="1" customHeight="1">
      <c r="B14" s="128" t="s">
        <v>15</v>
      </c>
      <c r="C14" s="129"/>
      <c r="D14" s="60" t="e">
        <f>STDEV(D19:D20)</f>
        <v>#DIV/0!</v>
      </c>
      <c r="E14" s="60" t="e">
        <f>STDEV(E19:E20)</f>
        <v>#DIV/0!</v>
      </c>
      <c r="F14" s="132"/>
      <c r="G14" s="125"/>
    </row>
    <row r="15" spans="2:7" s="59" customFormat="1" ht="21" hidden="1" customHeight="1">
      <c r="B15" s="128" t="s">
        <v>16</v>
      </c>
      <c r="C15" s="129"/>
      <c r="D15" s="60" t="e">
        <f t="shared" ref="D15" si="0">(D9-D10)/(D14*6)</f>
        <v>#DIV/0!</v>
      </c>
      <c r="E15" s="60" t="e">
        <f t="shared" ref="E15" si="1">(E9-E10)/(E14*6)</f>
        <v>#DIV/0!</v>
      </c>
      <c r="F15" s="132"/>
      <c r="G15" s="125"/>
    </row>
    <row r="16" spans="2:7" s="59" customFormat="1" ht="21" hidden="1" customHeight="1">
      <c r="B16" s="128" t="s">
        <v>17</v>
      </c>
      <c r="C16" s="129"/>
      <c r="D16" s="60" t="e">
        <f>(D13-D10)/(D14*3)</f>
        <v>#DIV/0!</v>
      </c>
      <c r="E16" s="60" t="e">
        <f t="shared" ref="E16" si="2">(E13-E10)/(E14*3)</f>
        <v>#DIV/0!</v>
      </c>
      <c r="F16" s="132"/>
      <c r="G16" s="125"/>
    </row>
    <row r="17" spans="2:7" s="59" customFormat="1" ht="21" hidden="1" customHeight="1">
      <c r="B17" s="130" t="s">
        <v>18</v>
      </c>
      <c r="C17" s="131"/>
      <c r="D17" s="60" t="e">
        <f>(D9-D13)/(D14*3)</f>
        <v>#DIV/0!</v>
      </c>
      <c r="E17" s="60" t="e">
        <f t="shared" ref="E17" si="3">(E9-E13)/(E14*3)</f>
        <v>#DIV/0!</v>
      </c>
      <c r="F17" s="132"/>
      <c r="G17" s="125"/>
    </row>
    <row r="18" spans="2:7" s="59" customFormat="1" ht="21" hidden="1" customHeight="1">
      <c r="B18" s="66" t="s">
        <v>222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2"/>
      <c r="G18" s="126"/>
    </row>
    <row r="19" spans="2:7" ht="21" customHeight="1">
      <c r="B19" s="62" t="s">
        <v>57</v>
      </c>
      <c r="C19" s="62" t="s">
        <v>219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220</v>
      </c>
      <c r="D20" s="63"/>
      <c r="E20" s="63"/>
      <c r="F20" s="77"/>
      <c r="G20" s="63"/>
    </row>
    <row r="21" spans="2:7" ht="6" customHeight="1"/>
  </sheetData>
  <mergeCells count="17"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2026-03-23T04:46:22Z</dcterms:modified>
</cp:coreProperties>
</file>