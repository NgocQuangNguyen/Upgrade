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6" state="hidden" r:id="rId3"/>
    <sheet name="ListSetup" sheetId="165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2" i="2"/>
  <c r="G1" i="165" l="1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<sst xmlns="http://schemas.openxmlformats.org/spreadsheetml/2006/main" count="783" uniqueCount="500">
  <si>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</si>
  <si>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</si>
  <si>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</si>
  <si>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</si>
  <si>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</si>
  <si>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</si>
  <si>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</si>
  <si>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</si>
  <si>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</si>
  <si>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</si>
  <si>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</si>
  <si>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</si>
  <si>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</si>
  <si>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</si>
  <si>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</si>
  <si>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</si>
  <si>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</si>
  <si>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</si>
  <si>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</si>
  <si>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</si>
  <si>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</si>
  <si>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</si>
  <si>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</si>
  <si>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</si>
  <si>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</si>
  <si>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</si>
  <si>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</si>
  <si>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</si>
  <si>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</si>
  <si>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</si>
  <si>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</si>
  <si>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</si>
  <si>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</si>
  <si>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</si>
  <si>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</si>
  <si>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</si>
  <si>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</si>
  <si>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</si>
  <si>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</si>
  <si>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</si>
  <si>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</si>
  <si>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</si>
  <si>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</si>
  <si>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</si>
  <si>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</si>
  <si>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</si>
  <si>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</si>
  <si>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</si>
  <si>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</si>
  <si>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</si>
  <si>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</si>
  <si>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</si>
  <si>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</si>
  <si>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</si>
  <si>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</si>
  <si>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</si>
  <si>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</si>
  <si>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</si>
  <si>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</si>
  <si>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</si>
  <si>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</si>
  <si>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</si>
  <si>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</si>
  <si>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</si>
  <si>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</si>
  <si>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</si>
  <si>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</si>
  <si>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</si>
  <si>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</si>
  <si>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</si>
  <si>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</si>
  <si>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</si>
  <si>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</si>
  <si>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</si>
  <si>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</si>
  <si>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</si>
  <si>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</si>
  <si>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</si>
  <si>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</si>
  <si>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</si>
  <si>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</si>
  <si>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</si>
  <si>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</si>
  <si>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</si>
  <si>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</si>
  <si>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</si>
  <si>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</si>
  <si>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</si>
  <si>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</si>
  <si>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</si>
  <si>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</si>
  <si>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</si>
  <si>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</si>
  <si>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</si>
  <si>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</si>
  <si>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</si>
  <si>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</si>
  <si>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</si>
  <si>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</si>
  <si>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</si>
  <si>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</si>
  <si>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</si>
  <si>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</si>
  <si>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</si>
  <si>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</si>
  <si>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</si>
  <si>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</si>
  <si>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</si>
  <si>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</si>
  <si>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</si>
  <si>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</si>
  <si>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</si>
  <si>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</si>
  <si>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</si>
  <si>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</si>
  <si>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</si>
  <si>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</si>
  <si>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</si>
  <si>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</si>
  <si>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</si>
  <si>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</si>
  <si>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</si>
  <si>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</si>
  <si>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</si>
  <si>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</si>
  <si>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</si>
  <si>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</si>
  <si>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</si>
  <si>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</si>
  <si>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</si>
  <si>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</si>
  <si>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</si>
  <si>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</si>
  <si>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</si>
  <si>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</si>
  <si>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</si>
  <si>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</si>
  <si>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</si>
  <si>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</si>
  <si>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</si>
  <si>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</si>
  <si>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</si>
  <si>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</si>
  <si>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</si>
  <si>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</si>
  <si>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</si>
  <si>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</si>
  <si>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</si>
  <si>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</si>
  <si>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</si>
  <si>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</si>
  <si>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</si>
  <si>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</si>
  <si>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</si>
  <si>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</si>
  <si>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</si>
  <si>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</si>
  <si>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</si>
  <si>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</si>
  <si>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</si>
  <si>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</si>
  <si>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</si>
  <si>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</si>
  <si>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</si>
  <si>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</si>
  <si>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</si>
  <si>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</si>
  <si>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</si>
  <si>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</si>
  <si>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</si>
  <si>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</si>
  <si>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</si>
  <si>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</si>
  <si>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</si>
  <si>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</si>
  <si>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</si>
  <si>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</si>
  <si>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</si>
  <si>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</si>
  <si>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</si>
  <si>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</si>
  <si>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</si>
  <si>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</si>
  <si>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</si>
  <si>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</si>
  <si>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</si>
  <si>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</si>
  <si>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</si>
  <si>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</si>
  <si>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</si>
  <si>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</si>
  <si>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</si>
  <si>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</si>
  <si>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</si>
  <si>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</si>
  <si>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</si>
  <si>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</si>
  <si>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</si>
  <si>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</si>
  <si>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</si>
  <si>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</si>
  <si>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</si>
  <si>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</si>
  <si>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</si>
  <si>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</si>
  <si>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</si>
  <si>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</si>
  <si>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</si>
  <si>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</si>
  <si>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</si>
  <si>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</si>
  <si>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</si>
  <si>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</si>
  <si>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</si>
  <si>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</si>
  <si>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</si>
  <si>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</si>
  <si>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</si>
  <si>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</si>
  <si>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</si>
  <si>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</si>
  <si>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</si>
  <si>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</si>
  <si>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</si>
  <si>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</si>
  <si>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</si>
  <si>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</si>
  <si>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</si>
  <si>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</si>
  <si>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</si>
  <si>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</si>
  <si>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</si>
  <si>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</si>
  <si>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</si>
  <si>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</si>
  <si>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</si>
  <si>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</si>
  <si>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</si>
  <si>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</si>
  <si>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</si>
  <si>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</si>
  <si>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</si>
  <si>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</si>
  <si>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</si>
  <si>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</si>
  <si>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</si>
  <si>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</si>
  <si>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</si>
  <si>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</si>
  <si>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</si>
  <si>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</si>
  <si>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</si>
  <si>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</si>
  <si>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</si>
  <si>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</si>
  <si>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</si>
  <si>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</si>
  <si>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</si>
  <si>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</si>
  <si>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</si>
  <si>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</si>
  <si>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</si>
  <si>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</si>
  <si>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</si>
  <si>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</si>
  <si>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</si>
  <si>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</si>
  <si>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</si>
  <si>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</si>
  <si>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</si>
  <si>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</si>
  <si>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</si>
  <si>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</si>
  <si>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</si>
  <si>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</si>
  <si>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</si>
  <si>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</si>
  <si>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</si>
  <si>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</si>
  <si>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</si>
  <si>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</si>
  <si>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</si>
  <si>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</si>
  <si>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</si>
  <si>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</si>
  <si>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</si>
  <si>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</si>
  <si>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</si>
  <si>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</si>
  <si>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</si>
  <si>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</si>
  <si>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</si>
  <si>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</si>
  <si>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</si>
  <si>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</si>
  <si>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</si>
  <si>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</si>
  <si>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</si>
  <si>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</si>
  <si>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</si>
  <si>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</si>
  <si>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</si>
  <si>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</si>
  <si>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</si>
  <si>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</si>
  <si>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</si>
  <si>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</si>
  <si>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</si>
  <si>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</si>
  <si>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</si>
  <si>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</si>
  <si>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</si>
  <si>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</si>
  <si>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</si>
  <si>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</si>
  <si>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</si>
  <si>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</si>
  <si>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</si>
  <si>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</si>
  <si>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</si>
  <si>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</si>
  <si>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</si>
  <si>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</si>
  <si>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</si>
  <si>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</si>
  <si>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</si>
  <si>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</si>
  <si>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</si>
  <si>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</si>
  <si>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</si>
  <si>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</si>
  <si>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</si>
  <si>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</si>
  <si>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</si>
  <si>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</si>
  <si>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</si>
  <si>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</si>
  <si>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</si>
  <si>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</si>
  <si>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</si>
  <si>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</si>
  <si>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</si>
  <si>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</si>
  <si>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</si>
  <si>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</si>
  <si>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</si>
  <si>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</si>
  <si>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</si>
  <si>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</si>
  <si>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</si>
  <si>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</si>
  <si>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</si>
  <si>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</si>
  <si>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</si>
  <si>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</si>
  <si>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</si>
  <si>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</si>
  <si>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</si>
  <si>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</si>
  <si>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</si>
  <si>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</si>
  <si>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</si>
  <si>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</si>
  <si>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</si>
  <si>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</si>
  <si>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</si>
  <si>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</si>
  <si>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</si>
  <si>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</si>
  <si>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</si>
  <si>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</si>
  <si>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</si>
  <si>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</si>
  <si>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</si>
  <si>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</si>
  <si>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</si>
  <si>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</si>
  <si>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</si>
  <si>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</si>
  <si>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</si>
  <si>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</si>
  <si>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</si>
  <si>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</si>
  <si>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</si>
  <si>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</si>
  <si>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</si>
  <si>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</si>
  <si>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</si>
  <si>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</si>
  <si>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</si>
  <si>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</si>
  <si>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</si>
  <si>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</si>
  <si>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</si>
  <si>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</si>
  <si>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</si>
  <si>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</si>
  <si>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</si>
  <si>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</si>
  <si>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</si>
  <si>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</si>
  <si>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</si>
  <si>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</si>
  <si>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</si>
  <si>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</si>
  <si>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</si>
  <si>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</si>
  <si>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</si>
  <si>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</si>
  <si>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</si>
  <si>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</si>
  <si>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</si>
  <si>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</si>
  <si>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</si>
  <si>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</si>
  <si>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</si>
  <si>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</si>
  <si>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</si>
  <si>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</si>
  <si>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</si>
  <si>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</si>
  <si>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</si>
  <si>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</si>
  <si>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</si>
  <si>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</si>
  <si>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</si>
  <si>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</si>
  <si>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</si>
  <si>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</si>
  <si>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</si>
  <si>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</si>
  <si>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</si>
  <si>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</si>
  <si>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</si>
  <si>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</si>
  <si>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</si>
  <si>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</si>
  <si>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</si>
  <si>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</si>
  <si>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</si>
  <si>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</si>
  <si>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</si>
  <si>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</si>
  <si>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</si>
  <si>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</si>
  <si>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</si>
  <si>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</si>
  <si>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</si>
  <si>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</si>
  <si>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</si>
  <si>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</si>
  <si>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</si>
  <si>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</si>
  <si>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</si>
  <si>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</si>
  <si>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</si>
  <si>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</si>
  <si>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</si>
  <si>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</si>
  <si>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</si>
  <si>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</si>
  <si>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</si>
  <si>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</si>
  <si>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</si>
  <si>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</si>
  <si>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</si>
  <si>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</si>
  <si>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</si>
  <si>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</si>
  <si>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</si>
  <si>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</si>
  <si>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</si>
  <si>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</si>
  <si>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</si>
  <si>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</si>
  <si>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</si>
  <si>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</si>
  <si>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</si>
  <si>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</si>
  <si>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</si>
  <si>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</si>
  <si>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</si>
  <si>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</si>
  <si>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</si>
  <si>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</si>
  <si>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</si>
  <si>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</si>
  <si>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</si>
  <si>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</si>
  <si>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</si>
  <si>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</si>
  <si>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</si>
  <si>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</si>
  <si>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</si>
  <si>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</si>
  <si>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</si>
  <si>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 xml:space="preserve"> 10-Jul-2025</t>
  </si>
  <si>
    <t>E</t>
  </si>
  <si>
    <t>COIL NEEDLE CHECK</t>
  </si>
  <si>
    <t xml:space="preserve"> 10-Jul-2025 05 52 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</si>
</sst>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6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4">
    <xf numFmtId="0" fontId="0" fillId="0" borderId="0">
      <alignment vertical="center"/>
    </xf>
    <xf numFmtId="0" fontId="14" fillId="0" borderId="0">
      <alignment vertical="center"/>
    </xf>
    <xf numFmtId="0" fontId="15" fillId="0" borderId="0"/>
    <xf numFmtId="0" fontId="13" fillId="0" borderId="0"/>
    <xf numFmtId="0" fontId="12" fillId="0" borderId="0"/>
    <xf numFmtId="0" fontId="15" fillId="0" borderId="0">
      <alignment vertical="center"/>
    </xf>
    <xf numFmtId="3" fontId="24" fillId="0" borderId="0" applyFont="0" applyFill="0" applyBorder="0" applyAlignment="0" applyProtection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2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9" fillId="3" borderId="13" xfId="5" applyNumberFormat="1" applyFont="1" applyFill="1" applyBorder="1" applyAlignment="1">
      <alignment horizontal="center" vertical="center" wrapText="1" shrinkToFit="1"/>
    </xf>
    <xf numFmtId="0" fontId="19" fillId="3" borderId="12" xfId="5" applyFont="1" applyFill="1" applyBorder="1" applyAlignment="1">
      <alignment horizontal="center" vertical="center" wrapText="1" shrinkToFit="1"/>
    </xf>
    <xf numFmtId="0" fontId="19" fillId="3" borderId="4" xfId="5" applyFont="1" applyFill="1" applyBorder="1" applyAlignment="1">
      <alignment horizontal="center" vertical="center" wrapText="1" shrinkToFit="1"/>
    </xf>
    <xf numFmtId="164" fontId="19" fillId="3" borderId="1" xfId="5" applyNumberFormat="1" applyFont="1" applyFill="1" applyBorder="1" applyAlignment="1">
      <alignment horizontal="center" vertical="center" wrapText="1" shrinkToFit="1"/>
    </xf>
    <xf numFmtId="164" fontId="19" fillId="3" borderId="14" xfId="5" applyNumberFormat="1" applyFont="1" applyFill="1" applyBorder="1" applyAlignment="1">
      <alignment horizontal="center" vertical="center" wrapText="1" shrinkToFit="1"/>
    </xf>
    <xf numFmtId="164" fontId="19" fillId="3" borderId="6" xfId="5" applyNumberFormat="1" applyFont="1" applyFill="1" applyBorder="1" applyAlignment="1">
      <alignment horizontal="center" vertical="center" wrapText="1" shrinkToFit="1"/>
    </xf>
    <xf numFmtId="164" fontId="19" fillId="3" borderId="15" xfId="5" applyNumberFormat="1" applyFont="1" applyFill="1" applyBorder="1" applyAlignment="1">
      <alignment horizontal="center" vertical="center" wrapText="1" shrinkToFit="1"/>
    </xf>
    <xf numFmtId="164" fontId="19" fillId="3" borderId="36" xfId="5" applyNumberFormat="1" applyFont="1" applyFill="1" applyBorder="1" applyAlignment="1">
      <alignment horizontal="center" vertical="center" wrapText="1" shrinkToFit="1"/>
    </xf>
    <xf numFmtId="0" fontId="19" fillId="3" borderId="1" xfId="5" applyFont="1" applyFill="1" applyBorder="1" applyAlignment="1">
      <alignment horizontal="center" vertical="center" wrapText="1" shrinkToFit="1"/>
    </xf>
    <xf numFmtId="0" fontId="19" fillId="3" borderId="13" xfId="5" applyFont="1" applyFill="1" applyBorder="1" applyAlignment="1">
      <alignment horizontal="center" vertical="center" wrapText="1" shrinkToFit="1"/>
    </xf>
    <xf numFmtId="0" fontId="19" fillId="3" borderId="19" xfId="5" applyFont="1" applyFill="1" applyBorder="1" applyAlignment="1">
      <alignment horizontal="center" vertical="center" wrapText="1" shrinkToFit="1"/>
    </xf>
    <xf numFmtId="0" fontId="17" fillId="3" borderId="17" xfId="5" applyFont="1" applyFill="1" applyBorder="1" applyAlignment="1">
      <alignment horizontal="center" vertical="center" wrapText="1"/>
    </xf>
    <xf numFmtId="0" fontId="17" fillId="3" borderId="25" xfId="5" applyFont="1" applyFill="1" applyBorder="1" applyAlignment="1">
      <alignment horizontal="center" vertical="center" wrapText="1"/>
    </xf>
    <xf numFmtId="0" fontId="22" fillId="6" borderId="35" xfId="5" applyFont="1" applyFill="1" applyBorder="1" applyAlignment="1">
      <alignment horizontal="center" vertical="center"/>
    </xf>
    <xf numFmtId="0" fontId="22" fillId="6" borderId="21" xfId="5" applyFont="1" applyFill="1" applyBorder="1" applyAlignment="1">
      <alignment horizontal="center" vertical="center"/>
    </xf>
    <xf numFmtId="164" fontId="23" fillId="6" borderId="22" xfId="5" applyNumberFormat="1" applyFont="1" applyFill="1" applyBorder="1" applyAlignment="1">
      <alignment horizontal="center" vertical="center"/>
    </xf>
    <xf numFmtId="164" fontId="23" fillId="6" borderId="23" xfId="5" applyNumberFormat="1" applyFont="1" applyFill="1" applyBorder="1" applyAlignment="1">
      <alignment horizontal="center" vertical="center"/>
    </xf>
    <xf numFmtId="164" fontId="23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6" fillId="0" borderId="0" xfId="0" applyFont="1">
      <alignment vertical="center"/>
    </xf>
    <xf numFmtId="164" fontId="26" fillId="4" borderId="0" xfId="0" applyNumberFormat="1" applyFont="1" applyFill="1">
      <alignment vertical="center"/>
    </xf>
    <xf numFmtId="0" fontId="26" fillId="4" borderId="0" xfId="0" applyFont="1" applyFill="1">
      <alignment vertical="center"/>
    </xf>
    <xf numFmtId="0" fontId="26" fillId="4" borderId="0" xfId="0" applyFont="1" applyFill="1" applyAlignment="1">
      <alignment horizontal="center" vertical="center"/>
    </xf>
    <xf numFmtId="167" fontId="26" fillId="0" borderId="0" xfId="0" applyNumberFormat="1" applyFont="1">
      <alignment vertical="center"/>
    </xf>
    <xf numFmtId="0" fontId="21" fillId="0" borderId="1" xfId="0" applyFont="1" applyBorder="1" applyAlignment="1">
      <alignment vertical="center" wrapText="1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5" fillId="0" borderId="0" xfId="15"/>
    <xf numFmtId="164" fontId="21" fillId="2" borderId="41" xfId="15" applyNumberFormat="1" applyFont="1" applyFill="1" applyBorder="1" applyAlignment="1">
      <alignment horizontal="center" vertical="center"/>
    </xf>
    <xf numFmtId="164" fontId="21" fillId="2" borderId="23" xfId="15" applyNumberFormat="1" applyFont="1" applyFill="1" applyBorder="1" applyAlignment="1">
      <alignment horizontal="center" vertical="center"/>
    </xf>
    <xf numFmtId="164" fontId="21" fillId="2" borderId="40" xfId="15" applyNumberFormat="1" applyFont="1" applyFill="1" applyBorder="1" applyAlignment="1">
      <alignment horizontal="center" vertical="center"/>
    </xf>
    <xf numFmtId="164" fontId="21" fillId="2" borderId="42" xfId="15" applyNumberFormat="1" applyFont="1" applyFill="1" applyBorder="1" applyAlignment="1">
      <alignment horizontal="center" vertical="center"/>
    </xf>
    <xf numFmtId="164" fontId="21" fillId="2" borderId="39" xfId="15" applyNumberFormat="1" applyFont="1" applyFill="1" applyBorder="1" applyAlignment="1">
      <alignment horizontal="center" vertical="center"/>
    </xf>
    <xf numFmtId="0" fontId="20" fillId="5" borderId="18" xfId="15" applyFont="1" applyFill="1" applyBorder="1" applyAlignment="1">
      <alignment horizontal="center" vertical="center"/>
    </xf>
    <xf numFmtId="164" fontId="21" fillId="2" borderId="16" xfId="15" applyNumberFormat="1" applyFont="1" applyFill="1" applyBorder="1" applyAlignment="1">
      <alignment horizontal="center" vertical="center"/>
    </xf>
    <xf numFmtId="164" fontId="21" fillId="2" borderId="1" xfId="15" applyNumberFormat="1" applyFont="1" applyFill="1" applyBorder="1" applyAlignment="1">
      <alignment horizontal="center" vertical="center"/>
    </xf>
    <xf numFmtId="164" fontId="21" fillId="2" borderId="3" xfId="15" applyNumberFormat="1" applyFont="1" applyFill="1" applyBorder="1" applyAlignment="1">
      <alignment horizontal="center" vertical="center"/>
    </xf>
    <xf numFmtId="164" fontId="21" fillId="2" borderId="37" xfId="15" applyNumberFormat="1" applyFont="1" applyFill="1" applyBorder="1" applyAlignment="1">
      <alignment horizontal="center" vertical="center"/>
    </xf>
    <xf numFmtId="164" fontId="21" fillId="2" borderId="17" xfId="15" applyNumberFormat="1" applyFont="1" applyFill="1" applyBorder="1" applyAlignment="1">
      <alignment horizontal="center" vertical="center"/>
    </xf>
    <xf numFmtId="0" fontId="20" fillId="5" borderId="17" xfId="15" applyFont="1" applyFill="1" applyBorder="1" applyAlignment="1">
      <alignment horizontal="center" vertical="center"/>
    </xf>
    <xf numFmtId="164" fontId="21" fillId="2" borderId="19" xfId="15" applyNumberFormat="1" applyFont="1" applyFill="1" applyBorder="1" applyAlignment="1">
      <alignment horizontal="center" vertical="center"/>
    </xf>
    <xf numFmtId="164" fontId="21" fillId="2" borderId="2" xfId="15" applyNumberFormat="1" applyFont="1" applyFill="1" applyBorder="1" applyAlignment="1">
      <alignment horizontal="center" vertical="center"/>
    </xf>
    <xf numFmtId="164" fontId="21" fillId="2" borderId="5" xfId="15" applyNumberFormat="1" applyFont="1" applyFill="1" applyBorder="1" applyAlignment="1">
      <alignment horizontal="center" vertical="center"/>
    </xf>
    <xf numFmtId="164" fontId="21" fillId="2" borderId="38" xfId="15" applyNumberFormat="1" applyFont="1" applyFill="1" applyBorder="1" applyAlignment="1">
      <alignment horizontal="center" vertical="center"/>
    </xf>
    <xf numFmtId="164" fontId="21" fillId="2" borderId="18" xfId="15" applyNumberFormat="1" applyFont="1" applyFill="1" applyBorder="1" applyAlignment="1">
      <alignment horizontal="center" vertical="center"/>
    </xf>
    <xf numFmtId="164" fontId="21" fillId="2" borderId="13" xfId="15" applyNumberFormat="1" applyFont="1" applyFill="1" applyBorder="1" applyAlignment="1">
      <alignment horizontal="center" vertical="center"/>
    </xf>
    <xf numFmtId="164" fontId="21" fillId="2" borderId="12" xfId="15" applyNumberFormat="1" applyFont="1" applyFill="1" applyBorder="1" applyAlignment="1">
      <alignment horizontal="center" vertical="center"/>
    </xf>
    <xf numFmtId="0" fontId="20" fillId="5" borderId="25" xfId="15" applyFont="1" applyFill="1" applyBorder="1" applyAlignment="1">
      <alignment horizontal="center" vertical="center"/>
    </xf>
    <xf numFmtId="0" fontId="16" fillId="0" borderId="34" xfId="15" applyFont="1" applyBorder="1" applyAlignment="1">
      <alignment vertical="center" wrapText="1"/>
    </xf>
    <xf numFmtId="0" fontId="16" fillId="0" borderId="33" xfId="15" applyFont="1" applyBorder="1" applyAlignment="1">
      <alignment vertical="center" wrapText="1"/>
    </xf>
    <xf numFmtId="0" fontId="16" fillId="0" borderId="32" xfId="15" applyFont="1" applyBorder="1" applyAlignment="1">
      <alignment vertical="center" wrapText="1"/>
    </xf>
    <xf numFmtId="0" fontId="16" fillId="0" borderId="10" xfId="15" applyFont="1" applyBorder="1" applyAlignment="1">
      <alignment horizontal="center" vertical="center" wrapText="1"/>
    </xf>
    <xf numFmtId="0" fontId="16" fillId="0" borderId="26" xfId="15" applyFont="1" applyBorder="1" applyAlignment="1">
      <alignment vertical="center" wrapText="1"/>
    </xf>
    <xf numFmtId="0" fontId="16" fillId="0" borderId="27" xfId="15" applyFont="1" applyBorder="1" applyAlignment="1">
      <alignment vertical="center" wrapText="1"/>
    </xf>
    <xf numFmtId="0" fontId="16" fillId="0" borderId="28" xfId="15" applyFont="1" applyBorder="1" applyAlignment="1">
      <alignment vertical="center" wrapText="1"/>
    </xf>
    <xf numFmtId="0" fontId="16" fillId="0" borderId="29" xfId="15" applyFont="1" applyBorder="1" applyAlignment="1">
      <alignment horizontal="center" vertical="top" wrapText="1"/>
    </xf>
    <xf numFmtId="0" fontId="16" fillId="0" borderId="30" xfId="15" applyFont="1" applyBorder="1" applyAlignment="1">
      <alignment vertical="center" wrapText="1"/>
    </xf>
    <xf numFmtId="0" fontId="16" fillId="0" borderId="0" xfId="15" applyFont="1" applyAlignment="1">
      <alignment vertical="center" wrapText="1"/>
    </xf>
    <xf numFmtId="0" fontId="16" fillId="0" borderId="20" xfId="15" applyFont="1" applyBorder="1" applyAlignment="1">
      <alignment vertical="center" wrapText="1"/>
    </xf>
    <xf numFmtId="0" fontId="16" fillId="0" borderId="31" xfId="15" applyFont="1" applyBorder="1" applyAlignment="1">
      <alignment horizontal="center" wrapText="1"/>
    </xf>
    <xf numFmtId="14" fontId="16" fillId="0" borderId="31" xfId="15" applyNumberFormat="1" applyFont="1" applyBorder="1" applyAlignment="1">
      <alignment horizontal="center" vertical="top" wrapText="1"/>
    </xf>
    <xf numFmtId="0" fontId="16" fillId="0" borderId="9" xfId="15" applyFont="1" applyBorder="1" applyAlignment="1">
      <alignment vertical="center" wrapText="1"/>
    </xf>
    <xf numFmtId="0" fontId="16" fillId="0" borderId="8" xfId="15" applyFont="1" applyBorder="1" applyAlignment="1">
      <alignment vertical="center" wrapText="1"/>
    </xf>
    <xf numFmtId="0" fontId="16" fillId="0" borderId="7" xfId="15" applyFont="1" applyBorder="1" applyAlignment="1">
      <alignment vertical="center" wrapText="1"/>
    </xf>
    <xf numFmtId="0" fontId="16" fillId="0" borderId="11" xfId="15" applyFont="1" applyBorder="1" applyAlignment="1">
      <alignment horizontal="center" wrapText="1"/>
    </xf>
    <xf numFmtId="0" fontId="25" fillId="0" borderId="34" xfId="15" applyFont="1" applyBorder="1" applyAlignment="1">
      <alignment vertical="center" wrapText="1"/>
    </xf>
    <xf numFmtId="0" fontId="25" fillId="0" borderId="33" xfId="15" applyFont="1" applyBorder="1" applyAlignment="1">
      <alignment vertical="center" wrapText="1"/>
    </xf>
    <xf numFmtId="0" fontId="21" fillId="0" borderId="1" xfId="0" applyFont="1" applyBorder="1" applyAlignment="1">
      <alignment horizontal="left" vertical="center" wrapText="1"/>
    </xf>
    <xf numFmtId="0" fontId="28" fillId="0" borderId="0" xfId="0" applyFont="1" applyAlignment="1"/>
    <xf numFmtId="164" fontId="29" fillId="7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vertical="center" wrapText="1"/>
    </xf>
    <xf numFmtId="16" fontId="30" fillId="0" borderId="1" xfId="0" applyNumberFormat="1" applyFont="1" applyBorder="1" applyAlignment="1">
      <alignment horizontal="center" vertical="center" wrapText="1"/>
    </xf>
    <xf numFmtId="0" fontId="29" fillId="9" borderId="17" xfId="0" applyFont="1" applyFill="1" applyBorder="1" applyAlignment="1">
      <alignment horizontal="right" vertical="center"/>
    </xf>
    <xf numFmtId="2" fontId="29" fillId="9" borderId="4" xfId="0" applyNumberFormat="1" applyFont="1" applyFill="1" applyBorder="1" applyAlignment="1">
      <alignment horizontal="left" vertical="center"/>
    </xf>
    <xf numFmtId="164" fontId="31" fillId="8" borderId="1" xfId="0" applyNumberFormat="1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 wrapText="1"/>
    </xf>
    <xf numFmtId="2" fontId="31" fillId="3" borderId="1" xfId="0" applyNumberFormat="1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164" fontId="29" fillId="9" borderId="1" xfId="0" applyNumberFormat="1" applyFont="1" applyFill="1" applyBorder="1" applyAlignment="1">
      <alignment horizontal="center" vertical="center"/>
    </xf>
    <xf numFmtId="164" fontId="23" fillId="6" borderId="47" xfId="5" applyNumberFormat="1" applyFont="1" applyFill="1" applyBorder="1" applyAlignment="1">
      <alignment horizontal="center" vertical="center"/>
    </xf>
    <xf numFmtId="164" fontId="23" fillId="6" borderId="48" xfId="5" applyNumberFormat="1" applyFont="1" applyFill="1" applyBorder="1" applyAlignment="1">
      <alignment horizontal="center" vertical="center"/>
    </xf>
    <xf numFmtId="164" fontId="23" fillId="6" borderId="49" xfId="5" applyNumberFormat="1" applyFont="1" applyFill="1" applyBorder="1" applyAlignment="1">
      <alignment horizontal="center" vertical="center"/>
    </xf>
    <xf numFmtId="0" fontId="31" fillId="10" borderId="1" xfId="0" applyFont="1" applyFill="1" applyBorder="1" applyAlignment="1">
      <alignment horizontal="center" vertical="center" wrapText="1"/>
    </xf>
    <xf numFmtId="164" fontId="21" fillId="0" borderId="1" xfId="0" applyNumberFormat="1" applyFont="1" applyBorder="1" applyAlignment="1">
      <alignment horizontal="center" vertical="center" wrapText="1"/>
    </xf>
    <xf numFmtId="0" fontId="30" fillId="0" borderId="6" xfId="0" applyFont="1" applyBorder="1" applyAlignment="1">
      <alignment horizontal="center" vertical="center" wrapText="1"/>
    </xf>
    <xf numFmtId="0" fontId="33" fillId="0" borderId="0" xfId="0" applyFont="1" applyAlignment="1">
      <alignment vertical="center" wrapText="1"/>
    </xf>
    <xf numFmtId="0" fontId="33" fillId="0" borderId="0" xfId="0" applyFont="1">
      <alignment vertical="center"/>
    </xf>
    <xf numFmtId="15" fontId="33" fillId="0" borderId="0" xfId="0" applyNumberFormat="1" applyFont="1" applyAlignment="1"/>
    <xf numFmtId="0" fontId="34" fillId="0" borderId="32" xfId="15" applyFont="1" applyBorder="1" applyAlignment="1">
      <alignment horizontal="center" vertical="center" wrapText="1"/>
    </xf>
    <xf numFmtId="15" fontId="35" fillId="0" borderId="0" xfId="0" applyNumberFormat="1" applyFont="1" applyAlignment="1"/>
    <xf numFmtId="0" fontId="33" fillId="0" borderId="0" xfId="22" applyFont="1"/>
    <xf numFmtId="166" fontId="33" fillId="0" borderId="0" xfId="22" applyNumberFormat="1" applyFont="1"/>
    <xf numFmtId="0" fontId="33" fillId="0" borderId="0" xfId="22" quotePrefix="1" applyFont="1"/>
    <xf numFmtId="0" fontId="33" fillId="0" borderId="0" xfId="22" applyFont="1" applyAlignment="1">
      <alignment horizontal="center" vertical="center"/>
    </xf>
    <xf numFmtId="0" fontId="33" fillId="0" borderId="0" xfId="22" applyFont="1" applyAlignment="1">
      <alignment vertical="center"/>
    </xf>
    <xf numFmtId="0" fontId="33" fillId="0" borderId="0" xfId="23" applyFont="1" applyAlignment="1">
      <alignment horizontal="center" vertical="center"/>
    </xf>
    <xf numFmtId="164" fontId="33" fillId="0" borderId="0" xfId="22" applyNumberFormat="1" applyFont="1"/>
    <xf numFmtId="0" fontId="33" fillId="0" borderId="0" xfId="22" applyFont="1" applyAlignment="1">
      <alignment horizontal="center"/>
    </xf>
    <xf numFmtId="0" fontId="33" fillId="0" borderId="0" xfId="23" applyFont="1" applyAlignment="1">
      <alignment horizontal="center"/>
    </xf>
    <xf numFmtId="2" fontId="33" fillId="0" borderId="0" xfId="23" applyNumberFormat="1" applyFont="1" applyAlignment="1">
      <alignment horizontal="center" vertical="center"/>
    </xf>
    <xf numFmtId="0" fontId="33" fillId="0" borderId="0" xfId="23" applyFont="1"/>
    <xf numFmtId="2" fontId="33" fillId="0" borderId="0" xfId="23" applyNumberFormat="1" applyFont="1"/>
    <xf numFmtId="0" fontId="18" fillId="3" borderId="28" xfId="5" applyFont="1" applyFill="1" applyBorder="1" applyAlignment="1">
      <alignment horizontal="center" vertical="center" wrapText="1"/>
    </xf>
    <xf numFmtId="0" fontId="18" fillId="3" borderId="27" xfId="5" applyFont="1" applyFill="1" applyBorder="1" applyAlignment="1">
      <alignment horizontal="center" vertical="center" wrapText="1"/>
    </xf>
    <xf numFmtId="0" fontId="18" fillId="3" borderId="26" xfId="5" applyFont="1" applyFill="1" applyBorder="1" applyAlignment="1">
      <alignment horizontal="center" vertical="center" wrapText="1"/>
    </xf>
    <xf numFmtId="0" fontId="16" fillId="4" borderId="11" xfId="5" applyFont="1" applyFill="1" applyBorder="1" applyAlignment="1">
      <alignment horizontal="center" vertical="center" wrapText="1"/>
    </xf>
    <xf numFmtId="0" fontId="16" fillId="4" borderId="35" xfId="5" applyFont="1" applyFill="1" applyBorder="1" applyAlignment="1">
      <alignment horizontal="center" vertical="center" wrapText="1"/>
    </xf>
    <xf numFmtId="0" fontId="16" fillId="4" borderId="43" xfId="5" applyFont="1" applyFill="1" applyBorder="1" applyAlignment="1">
      <alignment horizontal="center" vertical="center" wrapText="1"/>
    </xf>
    <xf numFmtId="0" fontId="16" fillId="4" borderId="44" xfId="5" applyFont="1" applyFill="1" applyBorder="1" applyAlignment="1">
      <alignment horizontal="center" vertical="center" wrapText="1"/>
    </xf>
    <xf numFmtId="0" fontId="17" fillId="3" borderId="32" xfId="5" applyFont="1" applyFill="1" applyBorder="1" applyAlignment="1">
      <alignment horizontal="center" vertical="center" wrapText="1"/>
    </xf>
    <xf numFmtId="0" fontId="17" fillId="3" borderId="35" xfId="5" applyFont="1" applyFill="1" applyBorder="1" applyAlignment="1">
      <alignment horizontal="center" vertical="center" wrapText="1"/>
    </xf>
    <xf numFmtId="0" fontId="16" fillId="3" borderId="11" xfId="5" applyFont="1" applyFill="1" applyBorder="1" applyAlignment="1">
      <alignment horizontal="center" vertical="center" wrapText="1"/>
    </xf>
    <xf numFmtId="0" fontId="16" fillId="3" borderId="8" xfId="5" applyFont="1" applyFill="1" applyBorder="1" applyAlignment="1">
      <alignment horizontal="center" vertical="center" wrapText="1"/>
    </xf>
    <xf numFmtId="0" fontId="16" fillId="3" borderId="9" xfId="5" applyFont="1" applyFill="1" applyBorder="1" applyAlignment="1">
      <alignment horizontal="center" vertical="center" wrapText="1"/>
    </xf>
    <xf numFmtId="0" fontId="16" fillId="3" borderId="7" xfId="5" applyFont="1" applyFill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1" fillId="10" borderId="3" xfId="0" applyFont="1" applyFill="1" applyBorder="1" applyAlignment="1">
      <alignment horizontal="center" vertical="center" wrapText="1"/>
    </xf>
    <xf numFmtId="0" fontId="31" fillId="10" borderId="4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 wrapText="1"/>
    </xf>
    <xf numFmtId="0" fontId="31" fillId="0" borderId="45" xfId="0" applyFont="1" applyBorder="1" applyAlignment="1">
      <alignment horizontal="center" vertical="center" wrapText="1"/>
    </xf>
    <xf numFmtId="0" fontId="31" fillId="0" borderId="6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29" fillId="7" borderId="17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29" fillId="9" borderId="17" xfId="0" applyFont="1" applyFill="1" applyBorder="1" applyAlignment="1">
      <alignment horizontal="center" vertical="center"/>
    </xf>
    <xf numFmtId="0" fontId="29" fillId="9" borderId="4" xfId="0" applyFon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3" borderId="3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8" borderId="3" xfId="0" applyFont="1" applyFill="1" applyBorder="1" applyAlignment="1">
      <alignment horizontal="center" vertical="center" wrapText="1"/>
    </xf>
    <xf numFmtId="0" fontId="31" fillId="8" borderId="4" xfId="0" applyFont="1" applyFill="1" applyBorder="1" applyAlignment="1">
      <alignment horizontal="center" vertical="center" wrapText="1"/>
    </xf>
    <xf numFmtId="0" fontId="31" fillId="0" borderId="46" xfId="0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 wrapText="1"/>
    </xf>
  </cellXfs>
  <cellStyles count="24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3" xfId="14"/>
    <cellStyle name="Normal 3 3 2" xfId="16"/>
    <cellStyle name="Normal 3 3 2 2" xfId="18"/>
    <cellStyle name="Normal 3 3 2 2 2" xfId="20"/>
    <cellStyle name="Normal 3 3 2 2 2 2" xfId="22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493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B2" sqref="B2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156</v>
      </c>
      <c r="F1" s="28">
        <v>4</v>
      </c>
      <c r="G1" s="25" t="s">
        <v>155</v>
      </c>
      <c r="H1" s="25" t="s">
        <v>154</v>
      </c>
      <c r="I1" s="29" t="s">
        <v>496</v>
      </c>
      <c r="J1" s="25" t="s">
        <v>144</v>
      </c>
      <c r="K1" s="25" t="s">
        <v>499</v>
      </c>
      <c r="L1" s="25" t="s">
        <v>497</v>
      </c>
    </row>
    <row r="2" spans="1:12">
      <c r="A2" s="19"/>
      <c r="C2" s="20" t="str">
        <f>IF(AND(A2&lt;&gt;"",B2&lt;&gt;""),IF(A2&lt;0.002,"NG Zero Set",IF(B2-A2-D2&lt;0.27,"Badmark",B2-A2-D2)),"")</f>
        <v/>
      </c>
      <c r="D2" s="26">
        <v>0</v>
      </c>
      <c r="H2" s="19"/>
    </row>
    <row r="3" spans="1:12">
      <c r="A3" s="19"/>
      <c r="C3" s="20" t="str">
        <f t="shared" ref="C3:C49" si="0">IF(AND(A3&lt;&gt;"",B3&lt;&gt;""),IF(A3&lt;0.002,"NG Zero Set",IF(B3-A3-D3&lt;0.27,"Badmark",B3-A3-D3)),"")</f>
        <v/>
      </c>
      <c r="D3" s="26">
        <v>0</v>
      </c>
      <c r="F3" s="19"/>
      <c r="G3" s="19"/>
      <c r="H3" s="19"/>
    </row>
    <row r="4" spans="1:12">
      <c r="A4" s="19"/>
      <c r="C4" s="20" t="str">
        <f t="shared" si="0"/>
        <v/>
      </c>
      <c r="D4" s="26">
        <v>0</v>
      </c>
      <c r="G4" s="23"/>
      <c r="H4" s="19"/>
    </row>
    <row r="5" spans="1:12">
      <c r="A5" s="19"/>
      <c r="C5" s="20" t="str">
        <f t="shared" si="0"/>
        <v/>
      </c>
      <c r="D5" s="26">
        <v>0</v>
      </c>
      <c r="F5" s="23"/>
      <c r="G5" s="23"/>
      <c r="H5" s="19"/>
    </row>
    <row r="6" spans="1:12">
      <c r="A6" s="19"/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/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/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/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/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/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/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/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/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/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/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/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/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/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/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/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/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/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/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/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/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/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/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/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/>
      <c r="C30" s="20" t="str">
        <f t="shared" si="0"/>
        <v/>
      </c>
      <c r="D30" s="26">
        <v>0</v>
      </c>
    </row>
    <row r="31" spans="1:9">
      <c r="A31" s="19"/>
      <c r="C31" s="20" t="str">
        <f t="shared" si="0"/>
        <v/>
      </c>
      <c r="D31" s="26">
        <v>0</v>
      </c>
    </row>
    <row r="32" spans="1:9">
      <c r="A32" s="19"/>
      <c r="C32" s="20" t="str">
        <f t="shared" si="0"/>
        <v/>
      </c>
      <c r="D32" s="26">
        <v>0</v>
      </c>
    </row>
    <row r="33" spans="1:4">
      <c r="A33" s="19"/>
      <c r="C33" s="20" t="str">
        <f t="shared" si="0"/>
        <v/>
      </c>
      <c r="D33" s="26">
        <v>0</v>
      </c>
    </row>
    <row r="34" spans="1:4">
      <c r="A34" s="19"/>
      <c r="C34" s="20" t="str">
        <f t="shared" si="0"/>
        <v/>
      </c>
      <c r="D34" s="26">
        <v>0</v>
      </c>
    </row>
    <row r="35" spans="1:4">
      <c r="A35" s="19"/>
      <c r="C35" s="20" t="str">
        <f t="shared" si="0"/>
        <v/>
      </c>
      <c r="D35" s="26">
        <v>0</v>
      </c>
    </row>
    <row r="36" spans="1:4">
      <c r="A36" s="19"/>
      <c r="C36" s="20" t="str">
        <f t="shared" si="0"/>
        <v/>
      </c>
      <c r="D36" s="26">
        <v>0</v>
      </c>
    </row>
    <row r="37" spans="1:4">
      <c r="A37" s="19"/>
      <c r="C37" s="20" t="str">
        <f t="shared" si="0"/>
        <v/>
      </c>
      <c r="D37" s="26">
        <v>0</v>
      </c>
    </row>
    <row r="38" spans="1:4">
      <c r="A38" s="19"/>
      <c r="C38" s="20" t="str">
        <f t="shared" si="0"/>
        <v/>
      </c>
      <c r="D38" s="26">
        <v>0</v>
      </c>
    </row>
    <row r="39" spans="1:4">
      <c r="A39" s="19"/>
      <c r="C39" s="20" t="str">
        <f t="shared" si="0"/>
        <v/>
      </c>
      <c r="D39" s="26">
        <v>0</v>
      </c>
    </row>
    <row r="40" spans="1:4">
      <c r="A40" s="19"/>
      <c r="C40" s="20" t="str">
        <f t="shared" si="0"/>
        <v/>
      </c>
      <c r="D40" s="26">
        <v>0</v>
      </c>
    </row>
    <row r="41" spans="1:4">
      <c r="A41" s="19"/>
      <c r="C41" s="20" t="str">
        <f t="shared" si="0"/>
        <v/>
      </c>
      <c r="D41" s="26">
        <v>0</v>
      </c>
    </row>
    <row r="42" spans="1:4">
      <c r="A42" s="19"/>
      <c r="C42" s="20" t="str">
        <f t="shared" si="0"/>
        <v/>
      </c>
      <c r="D42" s="26">
        <v>0</v>
      </c>
    </row>
    <row r="43" spans="1:4">
      <c r="A43" s="19"/>
      <c r="C43" s="20" t="str">
        <f t="shared" si="0"/>
        <v/>
      </c>
      <c r="D43" s="26">
        <v>0</v>
      </c>
    </row>
    <row r="44" spans="1:4">
      <c r="A44" s="19"/>
      <c r="C44" s="20" t="str">
        <f t="shared" si="0"/>
        <v/>
      </c>
      <c r="D44" s="26">
        <v>0</v>
      </c>
    </row>
    <row r="45" spans="1:4">
      <c r="A45" s="19"/>
      <c r="C45" s="20" t="str">
        <f t="shared" si="0"/>
        <v/>
      </c>
      <c r="D45" s="26">
        <v>0</v>
      </c>
    </row>
    <row r="46" spans="1:4">
      <c r="A46" s="19"/>
      <c r="C46" s="20" t="str">
        <f t="shared" si="0"/>
        <v/>
      </c>
      <c r="D46" s="26">
        <v>0</v>
      </c>
    </row>
    <row r="47" spans="1:4">
      <c r="A47" s="19"/>
      <c r="C47" s="20" t="str">
        <f t="shared" si="0"/>
        <v/>
      </c>
      <c r="D47" s="26">
        <v>0</v>
      </c>
    </row>
    <row r="48" spans="1:4">
      <c r="A48" s="19"/>
      <c r="C48" s="20" t="str">
        <f t="shared" si="0"/>
        <v/>
      </c>
      <c r="D48" s="26">
        <v>0</v>
      </c>
    </row>
    <row r="49" spans="1:4">
      <c r="A49" s="19"/>
      <c r="C49" s="20" t="str">
        <f t="shared" si="0"/>
        <v/>
      </c>
      <c r="D49" s="26">
        <v>0</v>
      </c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CAG2" activePane="bottomRight" state="frozen"/>
      <selection pane="topRight" activeCell="B1" sqref="B1"/>
      <selection pane="bottomLeft" activeCell="A2" sqref="A2"/>
      <selection pane="bottomRight" activeCell="CAM2" sqref="CAM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427</v>
      </c>
      <c r="B2" s="106">
        <v>3</v>
      </c>
      <c r="C2" s="106">
        <v>1</v>
      </c>
      <c r="D2" s="106">
        <v>1</v>
      </c>
      <c r="E2" s="106">
        <v>24</v>
      </c>
      <c r="F2" s="106" t="s">
        <v>424</v>
      </c>
      <c r="GY2" s="95" t="s">
        <v>428</v>
      </c>
      <c r="GZ2" s="108">
        <v>0.26700000000000002</v>
      </c>
      <c r="HA2" s="108">
        <v>0.26900000000000002</v>
      </c>
      <c r="HB2" s="108">
        <v>0.22800000000000001</v>
      </c>
      <c r="HC2" s="108">
        <v>0.25800000000000001</v>
      </c>
      <c r="HD2" s="108">
        <v>0.25700000000000001</v>
      </c>
      <c r="HE2" s="108">
        <v>0.23799999999999999</v>
      </c>
      <c r="HF2" s="108">
        <v>0.249</v>
      </c>
      <c r="HG2" s="108">
        <v>0.249</v>
      </c>
      <c r="HH2" s="108">
        <v>0.20699999999999999</v>
      </c>
      <c r="HI2" s="108">
        <v>0.23699999999999999</v>
      </c>
      <c r="HJ2" s="108">
        <v>0.22500000000000001</v>
      </c>
      <c r="HK2" s="108">
        <v>0.19800000000000001</v>
      </c>
      <c r="HL2" s="108">
        <v>0.16</v>
      </c>
      <c r="HM2" s="108">
        <v>0.222</v>
      </c>
      <c r="HN2" s="108">
        <v>0.187</v>
      </c>
      <c r="HO2" s="108">
        <v>0.22</v>
      </c>
      <c r="HP2" s="108">
        <v>0.214</v>
      </c>
      <c r="HQ2" s="108">
        <v>0.17699999999999999</v>
      </c>
      <c r="HR2" s="108">
        <v>0.2</v>
      </c>
      <c r="HS2" s="108">
        <v>0.2</v>
      </c>
      <c r="HT2" s="108">
        <v>0.13</v>
      </c>
      <c r="HU2" s="108">
        <v>0.189</v>
      </c>
      <c r="HV2" s="108">
        <v>0.183</v>
      </c>
      <c r="HW2" s="108">
        <v>0.152</v>
      </c>
      <c r="HX2" s="108">
        <v>0.17799999999999999</v>
      </c>
      <c r="HY2" s="108">
        <v>0.17699999999999999</v>
      </c>
      <c r="HZ2" s="108">
        <v>0.14299999999999999</v>
      </c>
      <c r="IA2" s="108">
        <v>0.16700000000000001</v>
      </c>
      <c r="IB2" s="108">
        <v>0.16300000000000001</v>
      </c>
      <c r="IC2" s="108">
        <v>9.0999999999999998E-2</v>
      </c>
      <c r="ID2" s="108">
        <v>8.5999999999999993E-2</v>
      </c>
      <c r="IE2" s="108">
        <v>0.14799999999999999</v>
      </c>
      <c r="IF2" s="108">
        <v>0.115</v>
      </c>
      <c r="IG2" s="108">
        <v>0.14299999999999999</v>
      </c>
      <c r="IH2" s="108">
        <v>0.13900000000000001</v>
      </c>
      <c r="II2" s="108">
        <v>0.104</v>
      </c>
      <c r="IJ2" s="108">
        <v>0.27100000000000002</v>
      </c>
      <c r="IK2" s="108">
        <v>0.25800000000000001</v>
      </c>
      <c r="IL2" s="108">
        <v>0.223</v>
      </c>
      <c r="IM2" s="108">
        <v>0.26</v>
      </c>
      <c r="IN2" s="108">
        <v>0.252</v>
      </c>
      <c r="IO2" s="108">
        <v>0.215</v>
      </c>
      <c r="IP2" s="108">
        <v>0.252</v>
      </c>
      <c r="IQ2" s="108">
        <v>0.247</v>
      </c>
      <c r="IR2" s="108">
        <v>0.20899999999999999</v>
      </c>
      <c r="IS2" s="108">
        <v>0.24299999999999999</v>
      </c>
      <c r="IT2" s="108">
        <v>0.23599999999999999</v>
      </c>
      <c r="IU2" s="108">
        <v>0.2</v>
      </c>
      <c r="IV2" s="108">
        <v>0.23599999999999999</v>
      </c>
      <c r="IW2" s="108">
        <v>0.23100000000000001</v>
      </c>
      <c r="IX2" s="108">
        <v>0.19500000000000001</v>
      </c>
      <c r="IY2" s="108">
        <v>0.22800000000000001</v>
      </c>
      <c r="IZ2" s="108">
        <v>0.23400000000000001</v>
      </c>
      <c r="JA2" s="108">
        <v>0.19700000000000001</v>
      </c>
      <c r="JB2" s="108">
        <v>0.224</v>
      </c>
      <c r="JC2" s="108">
        <v>0.22600000000000001</v>
      </c>
      <c r="JD2" s="108">
        <v>0.188</v>
      </c>
      <c r="JE2" s="108">
        <v>0.218</v>
      </c>
      <c r="JF2" s="108">
        <v>0.218</v>
      </c>
      <c r="JG2" s="108">
        <v>0.18099999999999999</v>
      </c>
      <c r="JH2" s="108">
        <v>0.21099999999999999</v>
      </c>
      <c r="JI2" s="108">
        <v>0.21199999999999999</v>
      </c>
      <c r="JJ2" s="108">
        <v>0.17199999999999999</v>
      </c>
      <c r="JK2" s="108">
        <v>0.21099999999999999</v>
      </c>
      <c r="JL2" s="108">
        <v>0.20599999999999999</v>
      </c>
      <c r="JM2" s="108">
        <v>0.155</v>
      </c>
      <c r="JN2" s="108">
        <v>0.193</v>
      </c>
      <c r="JO2" s="108">
        <v>0.19900000000000001</v>
      </c>
      <c r="JP2" s="108">
        <v>0.16</v>
      </c>
      <c r="JQ2" s="108">
        <v>0.193</v>
      </c>
      <c r="JR2" s="108">
        <v>0.184</v>
      </c>
      <c r="JS2" s="108">
        <v>0.14399999999999999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427</v>
      </c>
      <c r="CAE2" s="108">
        <v>1</v>
      </c>
      <c r="CAF2" s="108">
        <v>1</v>
      </c>
      <c r="CAG2" s="108" t="s">
        <v>144</v>
      </c>
      <c r="CAH2" s="108" t="s">
        <v>495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426</v>
      </c>
      <c r="B3" s="106">
        <v>2</v>
      </c>
      <c r="C3" s="106">
        <v>1</v>
      </c>
      <c r="D3" s="106">
        <v>1</v>
      </c>
      <c r="E3" s="106">
        <v>14</v>
      </c>
      <c r="F3" s="106" t="s">
        <v>424</v>
      </c>
      <c r="GY3" s="97" t="s">
        <v>494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404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491</v>
      </c>
      <c r="B4" s="106">
        <v>10</v>
      </c>
      <c r="C4" s="106">
        <v>3</v>
      </c>
      <c r="D4" s="106">
        <v>10</v>
      </c>
      <c r="E4" s="106">
        <v>4</v>
      </c>
      <c r="F4" s="106" t="s">
        <v>424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423</v>
      </c>
      <c r="B5" s="106">
        <v>4</v>
      </c>
      <c r="C5" s="106">
        <v>1</v>
      </c>
      <c r="D5" s="106">
        <v>1</v>
      </c>
      <c r="E5" s="106">
        <v>16</v>
      </c>
      <c r="F5" s="106" t="s">
        <v>424</v>
      </c>
      <c r="G5" s="106"/>
      <c r="GY5" s="95" t="s">
        <v>425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HG1" zoomScale="70" zoomScaleNormal="70" workbookViewId="0">
      <selection activeCell="HW2" sqref="HW2:IH2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401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381</v>
      </c>
      <c r="AG2" s="98" t="s">
        <v>402</v>
      </c>
      <c r="AH2" s="98" t="s">
        <v>403</v>
      </c>
      <c r="AI2" s="98" t="s">
        <v>383</v>
      </c>
      <c r="AJ2" s="98" t="s">
        <v>385</v>
      </c>
      <c r="AK2" s="98" t="s">
        <v>384</v>
      </c>
      <c r="AL2" s="98" t="s">
        <v>386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495</v>
      </c>
      <c r="BI2" s="101">
        <v>0.85</v>
      </c>
      <c r="BJ2" s="101">
        <v>1</v>
      </c>
      <c r="BK2" s="101">
        <v>1</v>
      </c>
      <c r="BM2" s="93" t="s">
        <v>190</v>
      </c>
      <c r="BN2" s="94" t="s">
        <v>213</v>
      </c>
      <c r="BO2" s="94" t="s">
        <v>191</v>
      </c>
      <c r="BP2" s="94"/>
      <c r="BQ2" s="98" t="s">
        <v>155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496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463</v>
      </c>
      <c r="B3" s="98" t="s">
        <v>380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383</v>
      </c>
      <c r="AG3" s="98" t="s">
        <v>384</v>
      </c>
      <c r="AH3" s="98" t="s">
        <v>386</v>
      </c>
      <c r="AI3" s="98" t="s">
        <v>385</v>
      </c>
      <c r="AJ3" s="98" t="s">
        <v>381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498</v>
      </c>
      <c r="XFB3" s="105" t="s">
        <v>158</v>
      </c>
    </row>
    <row r="4" spans="1:743 16382:16384">
      <c r="A4" s="98" t="s">
        <v>464</v>
      </c>
      <c r="B4" s="98" t="s">
        <v>380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389</v>
      </c>
      <c r="AG4" s="98" t="s">
        <v>383</v>
      </c>
      <c r="AH4" s="98" t="s">
        <v>385</v>
      </c>
      <c r="AI4" s="98" t="s">
        <v>384</v>
      </c>
      <c r="AJ4" s="98" t="s">
        <v>386</v>
      </c>
      <c r="AK4" s="98" t="s">
        <v>390</v>
      </c>
      <c r="AL4" s="98" t="s">
        <v>465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422</v>
      </c>
      <c r="B5" s="98" t="s">
        <v>401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392</v>
      </c>
      <c r="AG5" s="98" t="s">
        <v>393</v>
      </c>
      <c r="AH5" s="98" t="s">
        <v>381</v>
      </c>
      <c r="AI5" s="98" t="s">
        <v>421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7" t="s">
        <v>492</v>
      </c>
      <c r="C2" s="127"/>
      <c r="D2" s="131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7"/>
      <c r="C3" s="127"/>
      <c r="D3" s="131"/>
      <c r="E3" s="76"/>
      <c r="F3" s="76"/>
      <c r="G3" s="76"/>
    </row>
    <row r="4" spans="2:7" ht="28.5" customHeight="1">
      <c r="B4" s="127"/>
      <c r="C4" s="127"/>
      <c r="D4" s="131"/>
      <c r="E4" s="79"/>
      <c r="F4" s="79"/>
      <c r="G4" s="79"/>
    </row>
    <row r="5" spans="2:7" ht="28.5" customHeight="1">
      <c r="B5" s="127" t="s">
        <v>0</v>
      </c>
      <c r="C5" s="127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3" t="s">
        <v>216</v>
      </c>
      <c r="C6" s="124"/>
      <c r="D6" s="78"/>
      <c r="E6" s="78"/>
      <c r="F6" s="78"/>
      <c r="G6" s="78"/>
    </row>
    <row r="7" spans="2:7" ht="28.5" customHeight="1">
      <c r="B7" s="141" t="s">
        <v>217</v>
      </c>
      <c r="C7" s="142"/>
      <c r="D7" s="85" t="s">
        <v>219</v>
      </c>
      <c r="E7" s="85" t="s">
        <v>218</v>
      </c>
      <c r="F7" s="136" t="s">
        <v>220</v>
      </c>
      <c r="G7" s="128" t="s">
        <v>225</v>
      </c>
    </row>
    <row r="8" spans="2:7" ht="21" customHeight="1">
      <c r="B8" s="125" t="s">
        <v>317</v>
      </c>
      <c r="C8" s="126"/>
      <c r="D8" s="90"/>
      <c r="E8" s="90"/>
      <c r="F8" s="136"/>
      <c r="G8" s="129"/>
    </row>
    <row r="9" spans="2:7" ht="21" customHeight="1">
      <c r="B9" s="137" t="s">
        <v>11</v>
      </c>
      <c r="C9" s="138"/>
      <c r="D9" s="83"/>
      <c r="E9" s="83"/>
      <c r="F9" s="136"/>
      <c r="G9" s="129"/>
    </row>
    <row r="10" spans="2:7" ht="21" customHeight="1">
      <c r="B10" s="137" t="s">
        <v>12</v>
      </c>
      <c r="C10" s="138"/>
      <c r="D10" s="84"/>
      <c r="E10" s="84"/>
      <c r="F10" s="136"/>
      <c r="G10" s="129"/>
    </row>
    <row r="11" spans="2:7" ht="21" customHeight="1">
      <c r="B11" s="139" t="s">
        <v>1</v>
      </c>
      <c r="C11" s="140"/>
      <c r="D11" s="82">
        <f>MAX(D19:D20)</f>
        <v>0</v>
      </c>
      <c r="E11" s="82">
        <f>MAX(E19:E20)</f>
        <v>0</v>
      </c>
      <c r="F11" s="136"/>
      <c r="G11" s="129"/>
    </row>
    <row r="12" spans="2:7" ht="21" customHeight="1">
      <c r="B12" s="139" t="s">
        <v>2</v>
      </c>
      <c r="C12" s="140"/>
      <c r="D12" s="82">
        <f>MIN(D19:D20)</f>
        <v>0</v>
      </c>
      <c r="E12" s="82">
        <f>MIN(E19:E20)</f>
        <v>0</v>
      </c>
      <c r="F12" s="136"/>
      <c r="G12" s="129"/>
    </row>
    <row r="13" spans="2:7" ht="21" customHeight="1">
      <c r="B13" s="139" t="s">
        <v>3</v>
      </c>
      <c r="C13" s="140"/>
      <c r="D13" s="82" t="e">
        <f>AVERAGEA(D19:D20)</f>
        <v>#DIV/0!</v>
      </c>
      <c r="E13" s="82" t="e">
        <f>AVERAGEA(E19:E20)</f>
        <v>#DIV/0!</v>
      </c>
      <c r="F13" s="136"/>
      <c r="G13" s="129"/>
    </row>
    <row r="14" spans="2:7" s="73" customFormat="1" ht="21" customHeight="1">
      <c r="B14" s="132" t="s">
        <v>15</v>
      </c>
      <c r="C14" s="133"/>
      <c r="D14" s="74" t="e">
        <f>STDEV(D19:D20)</f>
        <v>#DIV/0!</v>
      </c>
      <c r="E14" s="74" t="e">
        <f>STDEV(E19:E20)</f>
        <v>#DIV/0!</v>
      </c>
      <c r="F14" s="136"/>
      <c r="G14" s="129"/>
    </row>
    <row r="15" spans="2:7" s="73" customFormat="1" ht="21" customHeight="1">
      <c r="B15" s="132" t="s">
        <v>16</v>
      </c>
      <c r="C15" s="133"/>
      <c r="D15" s="74" t="e">
        <f t="shared" ref="D15" si="0">(D9-D10)/(D14*6)</f>
        <v>#DIV/0!</v>
      </c>
      <c r="E15" s="74" t="e">
        <f t="shared" ref="E15" si="1">(E9-E10)/(E14*6)</f>
        <v>#DIV/0!</v>
      </c>
      <c r="F15" s="136"/>
      <c r="G15" s="129"/>
    </row>
    <row r="16" spans="2:7" s="73" customFormat="1" ht="21" customHeight="1">
      <c r="B16" s="132" t="s">
        <v>17</v>
      </c>
      <c r="C16" s="133"/>
      <c r="D16" s="74" t="e">
        <f>(D13-D10)/(D14*3)</f>
        <v>#DIV/0!</v>
      </c>
      <c r="E16" s="74" t="e">
        <f t="shared" ref="E16" si="2">(E13-E10)/(E14*3)</f>
        <v>#DIV/0!</v>
      </c>
      <c r="F16" s="136"/>
      <c r="G16" s="129"/>
    </row>
    <row r="17" spans="2:7" s="73" customFormat="1" ht="21" customHeight="1">
      <c r="B17" s="134" t="s">
        <v>18</v>
      </c>
      <c r="C17" s="135"/>
      <c r="D17" s="74" t="e">
        <f>(D9-D13)/(D14*3)</f>
        <v>#DIV/0!</v>
      </c>
      <c r="E17" s="74" t="e">
        <f t="shared" ref="E17" si="3">(E9-E13)/(E14*3)</f>
        <v>#DIV/0!</v>
      </c>
      <c r="F17" s="136"/>
      <c r="G17" s="129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6"/>
      <c r="G18" s="130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2025-07-10T11:05:51Z</dcterms:modified>
</cp:coreProperties>
</file>